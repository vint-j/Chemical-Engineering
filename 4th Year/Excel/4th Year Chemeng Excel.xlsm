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jamie/Library/CloudStorage/GoogleDrive-jamievint39@gmail.com/My Drive/Code/Excel/"/>
    </mc:Choice>
  </mc:AlternateContent>
  <xr:revisionPtr revIDLastSave="0" documentId="13_ncr:1_{76D6CC4B-FB84-144D-A54F-1F33E377547B}" xr6:coauthVersionLast="47" xr6:coauthVersionMax="47" xr10:uidLastSave="{00000000-0000-0000-0000-000000000000}"/>
  <bookViews>
    <workbookView xWindow="0" yWindow="780" windowWidth="34200" windowHeight="21120" firstSheet="1" activeTab="5" xr2:uid="{ADDA4791-1805-6B45-83BF-06FCB812CA26}"/>
  </bookViews>
  <sheets>
    <sheet name="Splash Page" sheetId="3" r:id="rId1"/>
    <sheet name="Particle Technology Tutorial 1" sheetId="1" r:id="rId2"/>
    <sheet name="Advanced Reactors Tutorial 2" sheetId="2" r:id="rId3"/>
    <sheet name="Advanced Reactors Tutorial 3" sheetId="6" r:id="rId4"/>
    <sheet name="Advanced Separations Tutorial 2" sheetId="4" r:id="rId5"/>
    <sheet name="Particle Technology Tutorial 2" sheetId="5" r:id="rId6"/>
  </sheets>
  <definedNames>
    <definedName name="_xleta.ABS" hidden="1" xlm="1">#NAME?</definedName>
    <definedName name="_xleta.EXP" hidden="1" xlm="1">#NAME?</definedName>
    <definedName name="_xleta.PI" hidden="1" xlm="1">#NAME?</definedName>
    <definedName name="ca0">#REF!</definedName>
    <definedName name="cb0">#REF!</definedName>
    <definedName name="dt">#REF!</definedName>
    <definedName name="Gas_Constant">#REF!</definedName>
    <definedName name="rconst1">#REF!</definedName>
    <definedName name="rconst2">#REF!</definedName>
    <definedName name="total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6" l="1"/>
  <c r="H4" i="6"/>
  <c r="H5" i="6"/>
  <c r="H6" i="6"/>
  <c r="H7" i="6"/>
  <c r="H8" i="6"/>
  <c r="H9" i="6"/>
  <c r="H10" i="6"/>
  <c r="H11" i="6"/>
  <c r="H12" i="6"/>
  <c r="H13" i="6"/>
  <c r="H14" i="6"/>
  <c r="H15" i="6"/>
  <c r="H16" i="6"/>
  <c r="H17" i="6"/>
  <c r="H18" i="6"/>
  <c r="H19" i="6"/>
  <c r="H20" i="6"/>
  <c r="H21" i="6"/>
  <c r="H22" i="6"/>
  <c r="H2" i="6"/>
  <c r="E27" i="6"/>
  <c r="F2" i="2"/>
  <c r="A24" i="6" a="1"/>
  <c r="A24" i="6" s="1"/>
  <c r="A3" i="6" a="1"/>
  <c r="A3" i="6" s="1"/>
  <c r="A4" i="6" a="1"/>
  <c r="A4" i="6" s="1"/>
  <c r="A5" i="6" a="1"/>
  <c r="A5" i="6" s="1"/>
  <c r="A6" i="6" a="1"/>
  <c r="A6" i="6" s="1"/>
  <c r="A7" i="6" a="1"/>
  <c r="A7" i="6" s="1"/>
  <c r="A8" i="6" a="1"/>
  <c r="A8" i="6" s="1"/>
  <c r="A9" i="6" a="1"/>
  <c r="A9" i="6" s="1"/>
  <c r="A10" i="6" a="1"/>
  <c r="A10" i="6" s="1"/>
  <c r="A11" i="6" a="1"/>
  <c r="A11" i="6" s="1"/>
  <c r="A12" i="6" a="1"/>
  <c r="A12" i="6" s="1"/>
  <c r="A13" i="6" a="1"/>
  <c r="A13" i="6" s="1"/>
  <c r="A14" i="6" a="1"/>
  <c r="A14" i="6" s="1"/>
  <c r="A15" i="6" a="1"/>
  <c r="A15" i="6" s="1"/>
  <c r="A16" i="6" a="1"/>
  <c r="A16" i="6" s="1"/>
  <c r="A17" i="6" a="1"/>
  <c r="A17" i="6" s="1"/>
  <c r="A18" i="6" a="1"/>
  <c r="A18" i="6" s="1"/>
  <c r="A19" i="6" a="1"/>
  <c r="A19" i="6" s="1"/>
  <c r="A20" i="6" a="1"/>
  <c r="A20" i="6" s="1"/>
  <c r="A21" i="6" a="1"/>
  <c r="A21" i="6" s="1"/>
  <c r="A22" i="6" a="1"/>
  <c r="A22" i="6" s="1"/>
  <c r="A1" i="6" a="1"/>
  <c r="A1" i="6" s="1"/>
  <c r="F7" i="2"/>
  <c r="C7" i="2"/>
  <c r="B7" i="2"/>
  <c r="XFD1048550" i="5" a="1"/>
  <c r="XFD1048550" i="5" s="1"/>
  <c r="XFD1048551" i="5" a="1"/>
  <c r="XFD1048551" i="5" s="1"/>
  <c r="XFD1048552" i="5" a="1"/>
  <c r="XFD1048552" i="5" s="1"/>
  <c r="XFD1048553" i="5" a="1"/>
  <c r="XFD1048553" i="5"/>
  <c r="XFD1048554" i="5" a="1"/>
  <c r="XFD1048554" i="5"/>
  <c r="XFD1048555" i="5" a="1"/>
  <c r="XFD1048555" i="5" s="1"/>
  <c r="XFD1048556" i="5" a="1"/>
  <c r="XFD1048556" i="5" s="1"/>
  <c r="XFD1048557" i="5" a="1"/>
  <c r="XFD1048557" i="5" s="1"/>
  <c r="XFD1048558" i="5" a="1"/>
  <c r="XFD1048558" i="5" s="1"/>
  <c r="XFD1048559" i="5" a="1"/>
  <c r="XFD1048559" i="5" s="1"/>
  <c r="XFD1048560" i="5" a="1"/>
  <c r="XFD1048560" i="5" s="1"/>
  <c r="XFD1048561" i="5" a="1"/>
  <c r="XFD1048561" i="5"/>
  <c r="XFD1048562" i="5" a="1"/>
  <c r="XFD1048562" i="5" s="1"/>
  <c r="XFD1048563" i="5" a="1"/>
  <c r="XFD1048563" i="5"/>
  <c r="XFD1048564" i="5" a="1"/>
  <c r="XFD1048564" i="5" s="1"/>
  <c r="XFD1048565" i="5" a="1"/>
  <c r="XFD1048565" i="5"/>
  <c r="XFD1048566" i="5" a="1"/>
  <c r="XFD1048566" i="5" s="1"/>
  <c r="XFD1048567" i="5" a="1"/>
  <c r="XFD1048567" i="5" s="1"/>
  <c r="XFD1048568" i="5" a="1"/>
  <c r="XFD1048568" i="5" s="1"/>
  <c r="XFD1048569" i="5" a="1"/>
  <c r="XFD1048569" i="5"/>
  <c r="XFD1048570" i="5" a="1"/>
  <c r="XFD1048570" i="5" s="1"/>
  <c r="XFD1048571" i="5" a="1"/>
  <c r="XFD1048571" i="5"/>
  <c r="XFD1048572" i="5" a="1"/>
  <c r="XFD1048572" i="5" s="1"/>
  <c r="XFD1048573" i="5" a="1"/>
  <c r="XFD1048573" i="5" s="1"/>
  <c r="XFD1048574" i="5" a="1"/>
  <c r="XFD1048574" i="5" s="1"/>
  <c r="XFD1048575" i="5" a="1"/>
  <c r="XFD1048575" i="5" s="1"/>
  <c r="AH27" i="5"/>
  <c r="AJ27" i="5" s="1"/>
  <c r="AH28" i="5"/>
  <c r="AJ28" i="5" s="1"/>
  <c r="AH26" i="5"/>
  <c r="AG27" i="5"/>
  <c r="AG28" i="5"/>
  <c r="AG26" i="5"/>
  <c r="K4" i="5"/>
  <c r="M4" i="5"/>
  <c r="L4" i="5"/>
  <c r="AS18" i="5"/>
  <c r="AR18" i="5"/>
  <c r="AQ18" i="5"/>
  <c r="AP18" i="5"/>
  <c r="AN17" i="5"/>
  <c r="AI18" i="5"/>
  <c r="AI17" i="5"/>
  <c r="AH18" i="5"/>
  <c r="AH17" i="5"/>
  <c r="AJ17" i="5" s="1"/>
  <c r="AF9" i="5"/>
  <c r="AF8" i="5"/>
  <c r="AN5" i="5"/>
  <c r="AN6" i="5"/>
  <c r="AN4" i="5"/>
  <c r="AM5" i="5"/>
  <c r="AM6" i="5"/>
  <c r="AM4" i="5"/>
  <c r="AL5" i="5"/>
  <c r="AL6" i="5"/>
  <c r="AL4" i="5"/>
  <c r="AJ5" i="5"/>
  <c r="AJ6" i="5"/>
  <c r="AJ4" i="5"/>
  <c r="AK4" i="5"/>
  <c r="AI5" i="5"/>
  <c r="AI6" i="5"/>
  <c r="AI4" i="5"/>
  <c r="AH5" i="5"/>
  <c r="AH6" i="5"/>
  <c r="AH4" i="5"/>
  <c r="AG5" i="5"/>
  <c r="AG6" i="5"/>
  <c r="AG4" i="5"/>
  <c r="Y16" i="5"/>
  <c r="Y17" i="5"/>
  <c r="Y20" i="5"/>
  <c r="Y21" i="5"/>
  <c r="Y22" i="5"/>
  <c r="Y23" i="5"/>
  <c r="Y24" i="5"/>
  <c r="Y15" i="5"/>
  <c r="X16" i="5"/>
  <c r="X17" i="5"/>
  <c r="X18" i="5"/>
  <c r="Y18" i="5" s="1"/>
  <c r="X19" i="5"/>
  <c r="Y19" i="5" s="1"/>
  <c r="X20" i="5"/>
  <c r="X21" i="5"/>
  <c r="X22" i="5"/>
  <c r="X23" i="5"/>
  <c r="X24" i="5"/>
  <c r="Y5" i="5"/>
  <c r="Y4" i="5"/>
  <c r="M5" i="5"/>
  <c r="M6" i="5"/>
  <c r="M7" i="5"/>
  <c r="L9" i="5"/>
  <c r="K5" i="5"/>
  <c r="J5" i="5"/>
  <c r="L5" i="5" s="1"/>
  <c r="J6" i="5"/>
  <c r="K6" i="5" s="1"/>
  <c r="J7" i="5"/>
  <c r="K7" i="5" s="1"/>
  <c r="J8" i="5"/>
  <c r="M8" i="5" s="1"/>
  <c r="J9" i="5"/>
  <c r="M9" i="5" s="1"/>
  <c r="J10" i="5"/>
  <c r="M10" i="5" s="1"/>
  <c r="J11" i="5"/>
  <c r="M11" i="5" s="1"/>
  <c r="J12" i="5"/>
  <c r="M12" i="5" s="1"/>
  <c r="C15" i="5"/>
  <c r="D15" i="5" s="1"/>
  <c r="C29" i="5"/>
  <c r="D28" i="5" s="1"/>
  <c r="C30" i="5"/>
  <c r="D30" i="5" s="1"/>
  <c r="C31" i="5"/>
  <c r="D31" i="5" s="1"/>
  <c r="C32" i="5"/>
  <c r="D32" i="5" s="1"/>
  <c r="C33" i="5"/>
  <c r="D33" i="5" s="1"/>
  <c r="C34" i="5"/>
  <c r="D34" i="5" s="1"/>
  <c r="C35" i="5"/>
  <c r="C36" i="5"/>
  <c r="C28" i="5"/>
  <c r="C4" i="5"/>
  <c r="C18" i="5" s="1"/>
  <c r="C5" i="5"/>
  <c r="C6" i="5"/>
  <c r="C7" i="5"/>
  <c r="C8" i="5"/>
  <c r="C9" i="5"/>
  <c r="C10" i="5"/>
  <c r="C11" i="5"/>
  <c r="C3" i="5"/>
  <c r="C16" i="5" s="1"/>
  <c r="D16" i="5" s="1"/>
  <c r="C5" i="4"/>
  <c r="AI26" i="5" l="1"/>
  <c r="AI27" i="5"/>
  <c r="AM27" i="5" s="1"/>
  <c r="AJ26" i="5"/>
  <c r="AI28" i="5"/>
  <c r="AM28" i="5" s="1"/>
  <c r="AM26" i="5"/>
  <c r="AL26" i="5"/>
  <c r="AK26" i="5"/>
  <c r="AK28" i="5"/>
  <c r="AL28" i="5"/>
  <c r="AL27" i="5"/>
  <c r="AK27" i="5"/>
  <c r="AJ31" i="5" s="1"/>
  <c r="AO17" i="5"/>
  <c r="AM18" i="5"/>
  <c r="AM17" i="5"/>
  <c r="AJ18" i="5"/>
  <c r="AK18" i="5" s="1"/>
  <c r="AO18" i="5"/>
  <c r="AN18" i="5"/>
  <c r="AK17" i="5"/>
  <c r="AP17" i="5" s="1"/>
  <c r="AK5" i="5"/>
  <c r="AK6" i="5"/>
  <c r="AB15" i="5"/>
  <c r="C40" i="5"/>
  <c r="D40" i="5" s="1"/>
  <c r="C46" i="5"/>
  <c r="D18" i="5"/>
  <c r="D36" i="5"/>
  <c r="L10" i="5"/>
  <c r="I29" i="5" s="1"/>
  <c r="D35" i="5"/>
  <c r="C24" i="5"/>
  <c r="L7" i="5"/>
  <c r="C23" i="5"/>
  <c r="L6" i="5"/>
  <c r="L8" i="5"/>
  <c r="C22" i="5"/>
  <c r="C21" i="5"/>
  <c r="K12" i="5"/>
  <c r="L12" i="5"/>
  <c r="D29" i="5"/>
  <c r="C48" i="5" s="1"/>
  <c r="K11" i="5"/>
  <c r="C20" i="5"/>
  <c r="C19" i="5"/>
  <c r="D19" i="5" s="1"/>
  <c r="K10" i="5"/>
  <c r="L11" i="5"/>
  <c r="K9" i="5"/>
  <c r="K8" i="5"/>
  <c r="I26" i="5" s="1"/>
  <c r="C17" i="5"/>
  <c r="D17" i="5" s="1"/>
  <c r="B2" i="1"/>
  <c r="D8" i="2"/>
  <c r="D9" i="2"/>
  <c r="E9" i="2" s="1"/>
  <c r="F9" i="2" s="1"/>
  <c r="G9" i="2" s="1"/>
  <c r="D16" i="2"/>
  <c r="D17" i="2"/>
  <c r="E17" i="2" s="1"/>
  <c r="F17" i="2" s="1"/>
  <c r="G17" i="2" s="1"/>
  <c r="C4" i="2"/>
  <c r="C3" i="2"/>
  <c r="C9" i="2"/>
  <c r="C10" i="2"/>
  <c r="C11" i="2"/>
  <c r="C12" i="2"/>
  <c r="C17" i="2"/>
  <c r="C18" i="2"/>
  <c r="C19" i="2"/>
  <c r="C20" i="2"/>
  <c r="B3" i="2"/>
  <c r="D3" i="2" s="1"/>
  <c r="E3" i="2" s="1"/>
  <c r="F3" i="2" s="1"/>
  <c r="G3" i="2" s="1"/>
  <c r="B4" i="2"/>
  <c r="D4" i="2" s="1"/>
  <c r="E4" i="2" s="1"/>
  <c r="F4" i="2" s="1"/>
  <c r="G4" i="2" s="1"/>
  <c r="B5" i="2"/>
  <c r="D5" i="2" s="1"/>
  <c r="B6" i="2"/>
  <c r="C6" i="2" s="1"/>
  <c r="B8" i="2"/>
  <c r="C8" i="2" s="1"/>
  <c r="B9" i="2"/>
  <c r="B10" i="2"/>
  <c r="D10" i="2" s="1"/>
  <c r="E10" i="2" s="1"/>
  <c r="F10" i="2" s="1"/>
  <c r="G10" i="2" s="1"/>
  <c r="B11" i="2"/>
  <c r="D11" i="2" s="1"/>
  <c r="E11" i="2" s="1"/>
  <c r="F11" i="2" s="1"/>
  <c r="G11" i="2" s="1"/>
  <c r="B12" i="2"/>
  <c r="D12" i="2" s="1"/>
  <c r="E12" i="2" s="1"/>
  <c r="F12" i="2" s="1"/>
  <c r="G12" i="2" s="1"/>
  <c r="B13" i="2"/>
  <c r="D13" i="2" s="1"/>
  <c r="B14" i="2"/>
  <c r="C14" i="2" s="1"/>
  <c r="B15" i="2"/>
  <c r="C15" i="2" s="1"/>
  <c r="B16" i="2"/>
  <c r="C16" i="2" s="1"/>
  <c r="B17" i="2"/>
  <c r="B18" i="2"/>
  <c r="D18" i="2" s="1"/>
  <c r="E18" i="2" s="1"/>
  <c r="F18" i="2" s="1"/>
  <c r="G18" i="2" s="1"/>
  <c r="B19" i="2"/>
  <c r="D19" i="2" s="1"/>
  <c r="E19" i="2" s="1"/>
  <c r="F19" i="2" s="1"/>
  <c r="G19" i="2" s="1"/>
  <c r="B20" i="2"/>
  <c r="D20" i="2" s="1"/>
  <c r="E20" i="2" s="1"/>
  <c r="F20" i="2" s="1"/>
  <c r="G20" i="2" s="1"/>
  <c r="B21" i="2"/>
  <c r="D21" i="2" s="1"/>
  <c r="B22" i="2"/>
  <c r="C22" i="2" s="1"/>
  <c r="B2" i="2"/>
  <c r="C2" i="2" s="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AJ32" i="5" l="1"/>
  <c r="AL18" i="5"/>
  <c r="AL17" i="5"/>
  <c r="AQ17" i="5"/>
  <c r="AS17" i="5"/>
  <c r="AR17" i="5"/>
  <c r="AJ20" i="5"/>
  <c r="C44" i="5"/>
  <c r="C47" i="5"/>
  <c r="D47" i="5" s="1"/>
  <c r="C45" i="5"/>
  <c r="D45" i="5" s="1"/>
  <c r="D21" i="5"/>
  <c r="C42" i="5"/>
  <c r="D22" i="5"/>
  <c r="C43" i="5"/>
  <c r="D43" i="5" s="1"/>
  <c r="C41" i="5"/>
  <c r="D41" i="5" s="1"/>
  <c r="D23" i="5"/>
  <c r="C49" i="5"/>
  <c r="D49" i="5" s="1"/>
  <c r="D24" i="5"/>
  <c r="D20" i="5"/>
  <c r="E16" i="2"/>
  <c r="F16" i="2" s="1"/>
  <c r="G16" i="2" s="1"/>
  <c r="E5" i="2"/>
  <c r="F5" i="2" s="1"/>
  <c r="G5" i="2" s="1"/>
  <c r="E8" i="2"/>
  <c r="F8" i="2" s="1"/>
  <c r="G8" i="2" s="1"/>
  <c r="D14" i="2"/>
  <c r="E14" i="2" s="1"/>
  <c r="F14" i="2" s="1"/>
  <c r="G14" i="2" s="1"/>
  <c r="C21" i="2"/>
  <c r="E21" i="2" s="1"/>
  <c r="F21" i="2" s="1"/>
  <c r="G21" i="2" s="1"/>
  <c r="C13" i="2"/>
  <c r="E13" i="2" s="1"/>
  <c r="F13" i="2" s="1"/>
  <c r="G13" i="2" s="1"/>
  <c r="C5" i="2"/>
  <c r="D15" i="2"/>
  <c r="E15" i="2" s="1"/>
  <c r="F15" i="2" s="1"/>
  <c r="G15" i="2" s="1"/>
  <c r="D22" i="2"/>
  <c r="E22" i="2" s="1"/>
  <c r="F22" i="2" s="1"/>
  <c r="G22" i="2" s="1"/>
  <c r="D6" i="2"/>
  <c r="E6" i="2" s="1"/>
  <c r="F6" i="2" s="1"/>
  <c r="G6" i="2" s="1"/>
  <c r="D2" i="2"/>
  <c r="E2" i="2" s="1"/>
  <c r="G2" i="2" s="1"/>
  <c r="A2" i="6" s="1" a="1"/>
  <c r="A2" i="6" s="1"/>
  <c r="D7" i="2"/>
  <c r="E7" i="2" s="1"/>
  <c r="G7" i="2" s="1"/>
  <c r="AJ21" i="5" l="1"/>
  <c r="D42" i="5"/>
  <c r="D44" i="5"/>
  <c r="D46" i="5"/>
  <c r="D48"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<sst xmlns="http://schemas.openxmlformats.org/spreadsheetml/2006/main" count="164" uniqueCount="123">
  <si>
    <t>mixing speed</t>
  </si>
  <si>
    <t>droplet diameter</t>
  </si>
  <si>
    <t>temp celcius</t>
  </si>
  <si>
    <t>temp kelvin</t>
  </si>
  <si>
    <t>t1t2</t>
  </si>
  <si>
    <t>t1-t2</t>
  </si>
  <si>
    <t>t1-t2 / t1t2</t>
  </si>
  <si>
    <t>ke2</t>
  </si>
  <si>
    <t>xae</t>
  </si>
  <si>
    <t xml:space="preserve">t1 </t>
  </si>
  <si>
    <t xml:space="preserve">dh0 </t>
  </si>
  <si>
    <t xml:space="preserve">dg0 </t>
  </si>
  <si>
    <t xml:space="preserve">r </t>
  </si>
  <si>
    <t>Particle Technology Tutorial 1</t>
  </si>
  <si>
    <t>Advanced Reactors Tutorial 2</t>
  </si>
  <si>
    <t>CHEMICAL ENGINEERING YEAR 4 - EXCEL BOOK</t>
  </si>
  <si>
    <t xml:space="preserve">Si + Si^2 = </t>
  </si>
  <si>
    <t xml:space="preserve">Si = </t>
  </si>
  <si>
    <t xml:space="preserve">ans = </t>
  </si>
  <si>
    <t>used goal seek here to find the value of Si</t>
  </si>
  <si>
    <t>Advanced Separations Tutorial 2</t>
  </si>
  <si>
    <t>Diameter x (micrometers)</t>
  </si>
  <si>
    <t>Number of particles</t>
  </si>
  <si>
    <t>Number fraction</t>
  </si>
  <si>
    <t>0-100</t>
  </si>
  <si>
    <t>100-200</t>
  </si>
  <si>
    <t>200 - 300</t>
  </si>
  <si>
    <t>300-400</t>
  </si>
  <si>
    <t>400-500</t>
  </si>
  <si>
    <t>500-600</t>
  </si>
  <si>
    <t>600-700</t>
  </si>
  <si>
    <t>700-800</t>
  </si>
  <si>
    <t>800-900</t>
  </si>
  <si>
    <t>a)</t>
  </si>
  <si>
    <t>b)</t>
  </si>
  <si>
    <t>PSD grid point i</t>
  </si>
  <si>
    <t>Diameter xi (micrometers)</t>
  </si>
  <si>
    <t>Cumulative frequency distribution Q_n(xi) (by number)</t>
  </si>
  <si>
    <t>Differential frequency distribution q_n(xi) (by number)</t>
  </si>
  <si>
    <t>c)</t>
  </si>
  <si>
    <t>Volume of particles (micrometers cubed)</t>
  </si>
  <si>
    <t>Volume fraction</t>
  </si>
  <si>
    <t>Upper bounds</t>
  </si>
  <si>
    <t>d)</t>
  </si>
  <si>
    <t>Particle Technology Tutorial 2</t>
  </si>
  <si>
    <t>Cumulative frequency distribution Q_v(xi) (by volume)</t>
  </si>
  <si>
    <t>Differential frequency distribution q_v(xi)(per micrometer) (by volume)</t>
  </si>
  <si>
    <t>Qv = unitless</t>
  </si>
  <si>
    <t>qv = per micrometer</t>
  </si>
  <si>
    <t>PSD Grid</t>
  </si>
  <si>
    <t>Number fraction fi ( x-1 &lt; x &lt; xi)</t>
  </si>
  <si>
    <t>fi xi^2</t>
  </si>
  <si>
    <t>fi xi</t>
  </si>
  <si>
    <t>fi xi^3</t>
  </si>
  <si>
    <t>Q2</t>
  </si>
  <si>
    <t>Cumulative freq dist Qn</t>
  </si>
  <si>
    <t xml:space="preserve">first moment </t>
  </si>
  <si>
    <t xml:space="preserve"> = sum of K column over sum of J column</t>
  </si>
  <si>
    <t>second moment</t>
  </si>
  <si>
    <t>different to the first moment because this tells us what the average diameter would be if you wanted the highest surface area</t>
  </si>
  <si>
    <t>Q3</t>
  </si>
  <si>
    <t>Exam mark x</t>
  </si>
  <si>
    <t>cumulative freq dist Qn(x)</t>
  </si>
  <si>
    <t>below 40</t>
  </si>
  <si>
    <t>between 40 and 69</t>
  </si>
  <si>
    <t>70 and above</t>
  </si>
  <si>
    <t>Grid point i</t>
  </si>
  <si>
    <t>Exam mark xi</t>
  </si>
  <si>
    <t>cumulative freq dist Qn(xi)</t>
  </si>
  <si>
    <t>num fraction fi</t>
  </si>
  <si>
    <t xml:space="preserve">arith avg = </t>
  </si>
  <si>
    <t>Q4</t>
  </si>
  <si>
    <t>density =</t>
  </si>
  <si>
    <t>kg / m3</t>
  </si>
  <si>
    <t>diameter</t>
  </si>
  <si>
    <t>n</t>
  </si>
  <si>
    <t xml:space="preserve">size x </t>
  </si>
  <si>
    <t>powder mass</t>
  </si>
  <si>
    <t>mass fraction</t>
  </si>
  <si>
    <t>cumulative</t>
  </si>
  <si>
    <t>powder volume</t>
  </si>
  <si>
    <t xml:space="preserve">density = </t>
  </si>
  <si>
    <t>volume of sphere</t>
  </si>
  <si>
    <t>N</t>
  </si>
  <si>
    <t>fn</t>
  </si>
  <si>
    <t>number weight avg</t>
  </si>
  <si>
    <t>surface weight avg</t>
  </si>
  <si>
    <t>m</t>
  </si>
  <si>
    <t>length</t>
  </si>
  <si>
    <t>Q5</t>
  </si>
  <si>
    <t>length (m)</t>
  </si>
  <si>
    <t xml:space="preserve">diameter = </t>
  </si>
  <si>
    <t>kg /m3</t>
  </si>
  <si>
    <t>mass</t>
  </si>
  <si>
    <t>volume</t>
  </si>
  <si>
    <t>assume 1kg</t>
  </si>
  <si>
    <t>volume of cylinder</t>
  </si>
  <si>
    <t>vol fraction</t>
  </si>
  <si>
    <t xml:space="preserve">equivalent sphere diameter coarse = </t>
  </si>
  <si>
    <t xml:space="preserve">equivalent sphere diameter fine = </t>
  </si>
  <si>
    <t>sa of sphere</t>
  </si>
  <si>
    <t>surface area per kg</t>
  </si>
  <si>
    <t>num weight mean</t>
  </si>
  <si>
    <t>fi xi^4</t>
  </si>
  <si>
    <t>vol weight mean</t>
  </si>
  <si>
    <t>course</t>
  </si>
  <si>
    <t>fine</t>
  </si>
  <si>
    <t>Q6</t>
  </si>
  <si>
    <t xml:space="preserve">assume </t>
  </si>
  <si>
    <t>1 m3</t>
  </si>
  <si>
    <t>volume of disk</t>
  </si>
  <si>
    <t>fi</t>
  </si>
  <si>
    <t>equivalent sphere diameter</t>
  </si>
  <si>
    <t>volume of  all spheres</t>
  </si>
  <si>
    <t>part b)</t>
  </si>
  <si>
    <t>Note in this line, you use the k values for the forward at the different temps, not kf and kb at same temp</t>
  </si>
  <si>
    <t>Advanced Reactors Tutorial 3</t>
  </si>
  <si>
    <t>pre-exp factor</t>
  </si>
  <si>
    <t>ca0</t>
  </si>
  <si>
    <t>kf</t>
  </si>
  <si>
    <t>k0</t>
  </si>
  <si>
    <t>eaf</t>
  </si>
  <si>
    <t>eab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</si>
</sst>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2"/>
      <color theme="1"/>
      <name val="Aptos Narrow"/>
      <family val="2"/>
      <scheme val="minor"/>
    </font>
    <font>
      <u/>
      <sz val="12"/>
      <color theme="10"/>
      <name val="Aptos Narrow"/>
      <family val="2"/>
      <scheme val="minor"/>
    </font>
    <font>
      <sz val="18"/>
      <color rgb="FFFFFF00"/>
      <name val="Aptos Narrow"/>
      <family val="2"/>
      <scheme val="minor"/>
    </font>
    <font>
      <sz val="8"/>
      <name val="Aptos Narrow"/>
      <family val="2"/>
      <scheme val="minor"/>
    </font>
    <font>
      <b/>
      <sz val="16"/>
      <color theme="1"/>
      <name val="Aptos Narrow"/>
      <scheme val="minor"/>
    </font>
    <font>
      <b/>
      <u/>
      <sz val="14"/>
      <color rgb="FFFFFF00"/>
      <name val="Aptos Narrow"/>
      <scheme val="minor"/>
    </font>
  </fonts>
  <fills count="9">
    <fill>
      <patternFill patternType="none"/>
    </fill>
    <fill>
      <patternFill patternType="gray125"/>
    </fill>
    <fill>
      <patternFill patternType="solid">
        <fgColor rgb="FFFFFF00"/>
        <bgColor indexed="64"/>
      </patternFill>
    </fill>
    <fill>
      <patternFill patternType="solid">
        <fgColor theme="2" tint="-0.24997711111789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323232"/>
        <bgColor indexed="64"/>
      </patternFill>
    </fill>
    <fill>
      <patternFill patternType="solid">
        <fgColor theme="0" tint="-0.14999847407452621"/>
        <bgColor indexed="64"/>
      </patternFill>
    </fill>
    <fill>
      <patternFill patternType="solid">
        <fgColor theme="0" tint="-4.9989318521683403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15">
    <xf numFmtId="0" fontId="0" fillId="0" borderId="0" xfId="0"/>
    <xf numFmtId="0" fontId="0" fillId="2" borderId="1" xfId="0" applyFill="1" applyBorder="1"/>
    <xf numFmtId="0" fontId="0" fillId="0" borderId="1" xfId="0" applyBorder="1"/>
    <xf numFmtId="0" fontId="0" fillId="3" borderId="1" xfId="0" applyFill="1" applyBorder="1" applyAlignment="1">
      <alignment horizontal="center"/>
    </xf>
    <xf numFmtId="0" fontId="0" fillId="4" borderId="1" xfId="0" applyFill="1" applyBorder="1" applyAlignment="1">
      <alignment horizontal="right"/>
    </xf>
    <xf numFmtId="0" fontId="0" fillId="4" borderId="1" xfId="0" applyFill="1" applyBorder="1"/>
    <xf numFmtId="0" fontId="0" fillId="5" borderId="1" xfId="0" applyFill="1" applyBorder="1"/>
    <xf numFmtId="0" fontId="0" fillId="6" borderId="0" xfId="0" applyFill="1"/>
    <xf numFmtId="0" fontId="2" fillId="6" borderId="0" xfId="0" applyFont="1" applyFill="1" applyAlignment="1">
      <alignment horizontal="center" vertical="center"/>
    </xf>
    <xf numFmtId="0" fontId="0" fillId="7" borderId="1" xfId="0" applyFill="1" applyBorder="1"/>
    <xf numFmtId="0" fontId="0" fillId="8" borderId="1" xfId="0" applyFill="1" applyBorder="1"/>
    <xf numFmtId="0" fontId="0" fillId="8" borderId="2" xfId="0" applyFill="1" applyBorder="1"/>
    <xf numFmtId="11" fontId="0" fillId="0" borderId="0" xfId="0" applyNumberFormat="1"/>
    <xf numFmtId="0" fontId="4" fillId="2" borderId="0" xfId="0" applyFont="1" applyFill="1"/>
    <xf numFmtId="0" fontId="5" fillId="6" borderId="0" xfId="1"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32323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Droplet diameter vs Mixing speed</a:t>
            </a:r>
            <a:r>
              <a:rPr lang="en-US" baseline="0"/>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'Particle Technology Tutorial 1'!$B$1</c:f>
              <c:strCache>
                <c:ptCount val="1"/>
                <c:pt idx="0">
                  <c:v>droplet diameter</c:v>
                </c:pt>
              </c:strCache>
            </c:strRef>
          </c:tx>
          <c:spPr>
            <a:ln w="19050" cap="rnd">
              <a:solidFill>
                <a:schemeClr val="accent1"/>
              </a:solidFill>
              <a:round/>
            </a:ln>
            <a:effectLst/>
          </c:spPr>
          <c:marker>
            <c:symbol val="none"/>
          </c:marker>
          <c:xVal>
            <c:numRef>
              <c:f>'Particle Technology Tutorial 1'!$A$2:$A$402</c:f>
              <c:numCache>
                <c:formatCode>General</c:formatCode>
                <c:ptCount val="401"/>
                <c:pt idx="0">
                  <c:v>100</c:v>
                </c:pt>
                <c:pt idx="1">
                  <c:v>101</c:v>
                </c:pt>
                <c:pt idx="2">
                  <c:v>102</c:v>
                </c:pt>
                <c:pt idx="3">
                  <c:v>103</c:v>
                </c:pt>
                <c:pt idx="4">
                  <c:v>104</c:v>
                </c:pt>
                <c:pt idx="5">
                  <c:v>105</c:v>
                </c:pt>
                <c:pt idx="6">
                  <c:v>106</c:v>
                </c:pt>
                <c:pt idx="7">
                  <c:v>107</c:v>
                </c:pt>
                <c:pt idx="8">
                  <c:v>108</c:v>
                </c:pt>
                <c:pt idx="9">
                  <c:v>109</c:v>
                </c:pt>
                <c:pt idx="10">
                  <c:v>110</c:v>
                </c:pt>
                <c:pt idx="11">
                  <c:v>111</c:v>
                </c:pt>
                <c:pt idx="12">
                  <c:v>112</c:v>
                </c:pt>
                <c:pt idx="13">
                  <c:v>113</c:v>
                </c:pt>
                <c:pt idx="14">
                  <c:v>114</c:v>
                </c:pt>
                <c:pt idx="15">
                  <c:v>115</c:v>
                </c:pt>
                <c:pt idx="16">
                  <c:v>116</c:v>
                </c:pt>
                <c:pt idx="17">
                  <c:v>117</c:v>
                </c:pt>
                <c:pt idx="18">
                  <c:v>118</c:v>
                </c:pt>
                <c:pt idx="19">
                  <c:v>119</c:v>
                </c:pt>
                <c:pt idx="20">
                  <c:v>120</c:v>
                </c:pt>
                <c:pt idx="21">
                  <c:v>121</c:v>
                </c:pt>
                <c:pt idx="22">
                  <c:v>122</c:v>
                </c:pt>
                <c:pt idx="23">
                  <c:v>123</c:v>
                </c:pt>
                <c:pt idx="24">
                  <c:v>124</c:v>
                </c:pt>
                <c:pt idx="25">
                  <c:v>125</c:v>
                </c:pt>
                <c:pt idx="26">
                  <c:v>126</c:v>
                </c:pt>
                <c:pt idx="27">
                  <c:v>127</c:v>
                </c:pt>
                <c:pt idx="28">
                  <c:v>128</c:v>
                </c:pt>
                <c:pt idx="29">
                  <c:v>129</c:v>
                </c:pt>
                <c:pt idx="30">
                  <c:v>130</c:v>
                </c:pt>
                <c:pt idx="31">
                  <c:v>131</c:v>
                </c:pt>
                <c:pt idx="32">
                  <c:v>132</c:v>
                </c:pt>
                <c:pt idx="33">
                  <c:v>133</c:v>
                </c:pt>
                <c:pt idx="34">
                  <c:v>134</c:v>
                </c:pt>
                <c:pt idx="35">
                  <c:v>135</c:v>
                </c:pt>
                <c:pt idx="36">
                  <c:v>136</c:v>
                </c:pt>
                <c:pt idx="37">
                  <c:v>137</c:v>
                </c:pt>
                <c:pt idx="38">
                  <c:v>138</c:v>
                </c:pt>
                <c:pt idx="39">
                  <c:v>139</c:v>
                </c:pt>
                <c:pt idx="40">
                  <c:v>140</c:v>
                </c:pt>
                <c:pt idx="41">
                  <c:v>141</c:v>
                </c:pt>
                <c:pt idx="42">
                  <c:v>142</c:v>
                </c:pt>
                <c:pt idx="43">
                  <c:v>143</c:v>
                </c:pt>
                <c:pt idx="44">
                  <c:v>144</c:v>
                </c:pt>
                <c:pt idx="45">
                  <c:v>145</c:v>
                </c:pt>
                <c:pt idx="46">
                  <c:v>146</c:v>
                </c:pt>
                <c:pt idx="47">
                  <c:v>147</c:v>
                </c:pt>
                <c:pt idx="48">
                  <c:v>148</c:v>
                </c:pt>
                <c:pt idx="49">
                  <c:v>149</c:v>
                </c:pt>
                <c:pt idx="50">
                  <c:v>150</c:v>
                </c:pt>
                <c:pt idx="51">
                  <c:v>151</c:v>
                </c:pt>
                <c:pt idx="52">
                  <c:v>152</c:v>
                </c:pt>
                <c:pt idx="53">
                  <c:v>153</c:v>
                </c:pt>
                <c:pt idx="54">
                  <c:v>154</c:v>
                </c:pt>
                <c:pt idx="55">
                  <c:v>155</c:v>
                </c:pt>
                <c:pt idx="56">
                  <c:v>156</c:v>
                </c:pt>
                <c:pt idx="57">
                  <c:v>157</c:v>
                </c:pt>
                <c:pt idx="58">
                  <c:v>158</c:v>
                </c:pt>
                <c:pt idx="59">
                  <c:v>159</c:v>
                </c:pt>
                <c:pt idx="60">
                  <c:v>160</c:v>
                </c:pt>
                <c:pt idx="61">
                  <c:v>161</c:v>
                </c:pt>
                <c:pt idx="62">
                  <c:v>162</c:v>
                </c:pt>
                <c:pt idx="63">
                  <c:v>163</c:v>
                </c:pt>
                <c:pt idx="64">
                  <c:v>164</c:v>
                </c:pt>
                <c:pt idx="65">
                  <c:v>165</c:v>
                </c:pt>
                <c:pt idx="66">
                  <c:v>166</c:v>
                </c:pt>
                <c:pt idx="67">
                  <c:v>167</c:v>
                </c:pt>
                <c:pt idx="68">
                  <c:v>168</c:v>
                </c:pt>
                <c:pt idx="69">
                  <c:v>169</c:v>
                </c:pt>
                <c:pt idx="70">
                  <c:v>170</c:v>
                </c:pt>
                <c:pt idx="71">
                  <c:v>171</c:v>
                </c:pt>
                <c:pt idx="72">
                  <c:v>172</c:v>
                </c:pt>
                <c:pt idx="73">
                  <c:v>173</c:v>
                </c:pt>
                <c:pt idx="74">
                  <c:v>174</c:v>
                </c:pt>
                <c:pt idx="75">
                  <c:v>175</c:v>
                </c:pt>
                <c:pt idx="76">
                  <c:v>176</c:v>
                </c:pt>
                <c:pt idx="77">
                  <c:v>177</c:v>
                </c:pt>
                <c:pt idx="78">
                  <c:v>178</c:v>
                </c:pt>
                <c:pt idx="79">
                  <c:v>179</c:v>
                </c:pt>
                <c:pt idx="80">
                  <c:v>180</c:v>
                </c:pt>
                <c:pt idx="81">
                  <c:v>181</c:v>
                </c:pt>
                <c:pt idx="82">
                  <c:v>182</c:v>
                </c:pt>
                <c:pt idx="83">
                  <c:v>183</c:v>
                </c:pt>
                <c:pt idx="84">
                  <c:v>184</c:v>
                </c:pt>
                <c:pt idx="85">
                  <c:v>185</c:v>
                </c:pt>
                <c:pt idx="86">
                  <c:v>186</c:v>
                </c:pt>
                <c:pt idx="87">
                  <c:v>187</c:v>
                </c:pt>
                <c:pt idx="88">
                  <c:v>188</c:v>
                </c:pt>
                <c:pt idx="89">
                  <c:v>189</c:v>
                </c:pt>
                <c:pt idx="90">
                  <c:v>190</c:v>
                </c:pt>
                <c:pt idx="91">
                  <c:v>191</c:v>
                </c:pt>
                <c:pt idx="92">
                  <c:v>192</c:v>
                </c:pt>
                <c:pt idx="93">
                  <c:v>193</c:v>
                </c:pt>
                <c:pt idx="94">
                  <c:v>194</c:v>
                </c:pt>
                <c:pt idx="95">
                  <c:v>195</c:v>
                </c:pt>
                <c:pt idx="96">
                  <c:v>196</c:v>
                </c:pt>
                <c:pt idx="97">
                  <c:v>197</c:v>
                </c:pt>
                <c:pt idx="98">
                  <c:v>198</c:v>
                </c:pt>
                <c:pt idx="99">
                  <c:v>199</c:v>
                </c:pt>
                <c:pt idx="100">
                  <c:v>200</c:v>
                </c:pt>
                <c:pt idx="101">
                  <c:v>201</c:v>
                </c:pt>
                <c:pt idx="102">
                  <c:v>202</c:v>
                </c:pt>
                <c:pt idx="103">
                  <c:v>203</c:v>
                </c:pt>
                <c:pt idx="104">
                  <c:v>204</c:v>
                </c:pt>
                <c:pt idx="105">
                  <c:v>205</c:v>
                </c:pt>
                <c:pt idx="106">
                  <c:v>206</c:v>
                </c:pt>
                <c:pt idx="107">
                  <c:v>207</c:v>
                </c:pt>
                <c:pt idx="108">
                  <c:v>208</c:v>
                </c:pt>
                <c:pt idx="109">
                  <c:v>209</c:v>
                </c:pt>
                <c:pt idx="110">
                  <c:v>210</c:v>
                </c:pt>
                <c:pt idx="111">
                  <c:v>211</c:v>
                </c:pt>
                <c:pt idx="112">
                  <c:v>212</c:v>
                </c:pt>
                <c:pt idx="113">
                  <c:v>213</c:v>
                </c:pt>
                <c:pt idx="114">
                  <c:v>214</c:v>
                </c:pt>
                <c:pt idx="115">
                  <c:v>215</c:v>
                </c:pt>
                <c:pt idx="116">
                  <c:v>216</c:v>
                </c:pt>
                <c:pt idx="117">
                  <c:v>217</c:v>
                </c:pt>
                <c:pt idx="118">
                  <c:v>218</c:v>
                </c:pt>
                <c:pt idx="119">
                  <c:v>219</c:v>
                </c:pt>
                <c:pt idx="120">
                  <c:v>220</c:v>
                </c:pt>
                <c:pt idx="121">
                  <c:v>221</c:v>
                </c:pt>
                <c:pt idx="122">
                  <c:v>222</c:v>
                </c:pt>
                <c:pt idx="123">
                  <c:v>223</c:v>
                </c:pt>
                <c:pt idx="124">
                  <c:v>224</c:v>
                </c:pt>
                <c:pt idx="125">
                  <c:v>225</c:v>
                </c:pt>
                <c:pt idx="126">
                  <c:v>226</c:v>
                </c:pt>
                <c:pt idx="127">
                  <c:v>227</c:v>
                </c:pt>
                <c:pt idx="128">
                  <c:v>228</c:v>
                </c:pt>
                <c:pt idx="129">
                  <c:v>229</c:v>
                </c:pt>
                <c:pt idx="130">
                  <c:v>230</c:v>
                </c:pt>
                <c:pt idx="131">
                  <c:v>231</c:v>
                </c:pt>
                <c:pt idx="132">
                  <c:v>232</c:v>
                </c:pt>
                <c:pt idx="133">
                  <c:v>233</c:v>
                </c:pt>
                <c:pt idx="134">
                  <c:v>234</c:v>
                </c:pt>
                <c:pt idx="135">
                  <c:v>235</c:v>
                </c:pt>
                <c:pt idx="136">
                  <c:v>236</c:v>
                </c:pt>
                <c:pt idx="137">
                  <c:v>237</c:v>
                </c:pt>
                <c:pt idx="138">
                  <c:v>238</c:v>
                </c:pt>
                <c:pt idx="139">
                  <c:v>239</c:v>
                </c:pt>
                <c:pt idx="140">
                  <c:v>240</c:v>
                </c:pt>
                <c:pt idx="141">
                  <c:v>241</c:v>
                </c:pt>
                <c:pt idx="142">
                  <c:v>242</c:v>
                </c:pt>
                <c:pt idx="143">
                  <c:v>243</c:v>
                </c:pt>
                <c:pt idx="144">
                  <c:v>244</c:v>
                </c:pt>
                <c:pt idx="145">
                  <c:v>245</c:v>
                </c:pt>
                <c:pt idx="146">
                  <c:v>246</c:v>
                </c:pt>
                <c:pt idx="147">
                  <c:v>247</c:v>
                </c:pt>
                <c:pt idx="148">
                  <c:v>248</c:v>
                </c:pt>
                <c:pt idx="149">
                  <c:v>249</c:v>
                </c:pt>
                <c:pt idx="150">
                  <c:v>250</c:v>
                </c:pt>
                <c:pt idx="151">
                  <c:v>251</c:v>
                </c:pt>
                <c:pt idx="152">
                  <c:v>252</c:v>
                </c:pt>
                <c:pt idx="153">
                  <c:v>253</c:v>
                </c:pt>
                <c:pt idx="154">
                  <c:v>254</c:v>
                </c:pt>
                <c:pt idx="155">
                  <c:v>255</c:v>
                </c:pt>
                <c:pt idx="156">
                  <c:v>256</c:v>
                </c:pt>
                <c:pt idx="157">
                  <c:v>257</c:v>
                </c:pt>
                <c:pt idx="158">
                  <c:v>258</c:v>
                </c:pt>
                <c:pt idx="159">
                  <c:v>259</c:v>
                </c:pt>
                <c:pt idx="160">
                  <c:v>260</c:v>
                </c:pt>
                <c:pt idx="161">
                  <c:v>261</c:v>
                </c:pt>
                <c:pt idx="162">
                  <c:v>262</c:v>
                </c:pt>
                <c:pt idx="163">
                  <c:v>263</c:v>
                </c:pt>
                <c:pt idx="164">
                  <c:v>264</c:v>
                </c:pt>
                <c:pt idx="165">
                  <c:v>265</c:v>
                </c:pt>
                <c:pt idx="166">
                  <c:v>266</c:v>
                </c:pt>
                <c:pt idx="167">
                  <c:v>267</c:v>
                </c:pt>
                <c:pt idx="168">
                  <c:v>268</c:v>
                </c:pt>
                <c:pt idx="169">
                  <c:v>269</c:v>
                </c:pt>
                <c:pt idx="170">
                  <c:v>270</c:v>
                </c:pt>
                <c:pt idx="171">
                  <c:v>271</c:v>
                </c:pt>
                <c:pt idx="172">
                  <c:v>272</c:v>
                </c:pt>
                <c:pt idx="173">
                  <c:v>273</c:v>
                </c:pt>
                <c:pt idx="174">
                  <c:v>274</c:v>
                </c:pt>
                <c:pt idx="175">
                  <c:v>275</c:v>
                </c:pt>
                <c:pt idx="176">
                  <c:v>276</c:v>
                </c:pt>
                <c:pt idx="177">
                  <c:v>277</c:v>
                </c:pt>
                <c:pt idx="178">
                  <c:v>278</c:v>
                </c:pt>
                <c:pt idx="179">
                  <c:v>279</c:v>
                </c:pt>
                <c:pt idx="180">
                  <c:v>280</c:v>
                </c:pt>
                <c:pt idx="181">
                  <c:v>281</c:v>
                </c:pt>
                <c:pt idx="182">
                  <c:v>282</c:v>
                </c:pt>
                <c:pt idx="183">
                  <c:v>283</c:v>
                </c:pt>
                <c:pt idx="184">
                  <c:v>284</c:v>
                </c:pt>
                <c:pt idx="185">
                  <c:v>285</c:v>
                </c:pt>
                <c:pt idx="186">
                  <c:v>286</c:v>
                </c:pt>
                <c:pt idx="187">
                  <c:v>287</c:v>
                </c:pt>
                <c:pt idx="188">
                  <c:v>288</c:v>
                </c:pt>
                <c:pt idx="189">
                  <c:v>289</c:v>
                </c:pt>
                <c:pt idx="190">
                  <c:v>290</c:v>
                </c:pt>
                <c:pt idx="191">
                  <c:v>291</c:v>
                </c:pt>
                <c:pt idx="192">
                  <c:v>292</c:v>
                </c:pt>
                <c:pt idx="193">
                  <c:v>293</c:v>
                </c:pt>
                <c:pt idx="194">
                  <c:v>294</c:v>
                </c:pt>
                <c:pt idx="195">
                  <c:v>295</c:v>
                </c:pt>
                <c:pt idx="196">
                  <c:v>296</c:v>
                </c:pt>
                <c:pt idx="197">
                  <c:v>297</c:v>
                </c:pt>
                <c:pt idx="198">
                  <c:v>298</c:v>
                </c:pt>
                <c:pt idx="199">
                  <c:v>299</c:v>
                </c:pt>
                <c:pt idx="200">
                  <c:v>300</c:v>
                </c:pt>
                <c:pt idx="201">
                  <c:v>301</c:v>
                </c:pt>
                <c:pt idx="202">
                  <c:v>302</c:v>
                </c:pt>
                <c:pt idx="203">
                  <c:v>303</c:v>
                </c:pt>
                <c:pt idx="204">
                  <c:v>304</c:v>
                </c:pt>
                <c:pt idx="205">
                  <c:v>305</c:v>
                </c:pt>
                <c:pt idx="206">
                  <c:v>306</c:v>
                </c:pt>
                <c:pt idx="207">
                  <c:v>307</c:v>
                </c:pt>
                <c:pt idx="208">
                  <c:v>308</c:v>
                </c:pt>
                <c:pt idx="209">
                  <c:v>309</c:v>
                </c:pt>
                <c:pt idx="210">
                  <c:v>310</c:v>
                </c:pt>
                <c:pt idx="211">
                  <c:v>311</c:v>
                </c:pt>
                <c:pt idx="212">
                  <c:v>312</c:v>
                </c:pt>
                <c:pt idx="213">
                  <c:v>313</c:v>
                </c:pt>
                <c:pt idx="214">
                  <c:v>314</c:v>
                </c:pt>
                <c:pt idx="215">
                  <c:v>315</c:v>
                </c:pt>
                <c:pt idx="216">
                  <c:v>316</c:v>
                </c:pt>
                <c:pt idx="217">
                  <c:v>317</c:v>
                </c:pt>
                <c:pt idx="218">
                  <c:v>318</c:v>
                </c:pt>
                <c:pt idx="219">
                  <c:v>319</c:v>
                </c:pt>
                <c:pt idx="220">
                  <c:v>320</c:v>
                </c:pt>
                <c:pt idx="221">
                  <c:v>321</c:v>
                </c:pt>
                <c:pt idx="222">
                  <c:v>322</c:v>
                </c:pt>
                <c:pt idx="223">
                  <c:v>323</c:v>
                </c:pt>
                <c:pt idx="224">
                  <c:v>324</c:v>
                </c:pt>
                <c:pt idx="225">
                  <c:v>325</c:v>
                </c:pt>
                <c:pt idx="226">
                  <c:v>326</c:v>
                </c:pt>
                <c:pt idx="227">
                  <c:v>327</c:v>
                </c:pt>
                <c:pt idx="228">
                  <c:v>328</c:v>
                </c:pt>
                <c:pt idx="229">
                  <c:v>329</c:v>
                </c:pt>
                <c:pt idx="230">
                  <c:v>330</c:v>
                </c:pt>
                <c:pt idx="231">
                  <c:v>331</c:v>
                </c:pt>
                <c:pt idx="232">
                  <c:v>332</c:v>
                </c:pt>
                <c:pt idx="233">
                  <c:v>333</c:v>
                </c:pt>
                <c:pt idx="234">
                  <c:v>334</c:v>
                </c:pt>
                <c:pt idx="235">
                  <c:v>335</c:v>
                </c:pt>
                <c:pt idx="236">
                  <c:v>336</c:v>
                </c:pt>
                <c:pt idx="237">
                  <c:v>337</c:v>
                </c:pt>
                <c:pt idx="238">
                  <c:v>338</c:v>
                </c:pt>
                <c:pt idx="239">
                  <c:v>339</c:v>
                </c:pt>
                <c:pt idx="240">
                  <c:v>340</c:v>
                </c:pt>
                <c:pt idx="241">
                  <c:v>341</c:v>
                </c:pt>
                <c:pt idx="242">
                  <c:v>342</c:v>
                </c:pt>
                <c:pt idx="243">
                  <c:v>343</c:v>
                </c:pt>
                <c:pt idx="244">
                  <c:v>344</c:v>
                </c:pt>
                <c:pt idx="245">
                  <c:v>345</c:v>
                </c:pt>
                <c:pt idx="246">
                  <c:v>346</c:v>
                </c:pt>
                <c:pt idx="247">
                  <c:v>347</c:v>
                </c:pt>
                <c:pt idx="248">
                  <c:v>348</c:v>
                </c:pt>
                <c:pt idx="249">
                  <c:v>349</c:v>
                </c:pt>
                <c:pt idx="250">
                  <c:v>350</c:v>
                </c:pt>
                <c:pt idx="251">
                  <c:v>351</c:v>
                </c:pt>
                <c:pt idx="252">
                  <c:v>352</c:v>
                </c:pt>
                <c:pt idx="253">
                  <c:v>353</c:v>
                </c:pt>
                <c:pt idx="254">
                  <c:v>354</c:v>
                </c:pt>
                <c:pt idx="255">
                  <c:v>355</c:v>
                </c:pt>
                <c:pt idx="256">
                  <c:v>356</c:v>
                </c:pt>
                <c:pt idx="257">
                  <c:v>357</c:v>
                </c:pt>
                <c:pt idx="258">
                  <c:v>358</c:v>
                </c:pt>
                <c:pt idx="259">
                  <c:v>359</c:v>
                </c:pt>
                <c:pt idx="260">
                  <c:v>360</c:v>
                </c:pt>
                <c:pt idx="261">
                  <c:v>361</c:v>
                </c:pt>
                <c:pt idx="262">
                  <c:v>362</c:v>
                </c:pt>
                <c:pt idx="263">
                  <c:v>363</c:v>
                </c:pt>
                <c:pt idx="264">
                  <c:v>364</c:v>
                </c:pt>
                <c:pt idx="265">
                  <c:v>365</c:v>
                </c:pt>
                <c:pt idx="266">
                  <c:v>366</c:v>
                </c:pt>
                <c:pt idx="267">
                  <c:v>367</c:v>
                </c:pt>
                <c:pt idx="268">
                  <c:v>368</c:v>
                </c:pt>
                <c:pt idx="269">
                  <c:v>369</c:v>
                </c:pt>
                <c:pt idx="270">
                  <c:v>370</c:v>
                </c:pt>
                <c:pt idx="271">
                  <c:v>371</c:v>
                </c:pt>
                <c:pt idx="272">
                  <c:v>372</c:v>
                </c:pt>
                <c:pt idx="273">
                  <c:v>373</c:v>
                </c:pt>
                <c:pt idx="274">
                  <c:v>374</c:v>
                </c:pt>
                <c:pt idx="275">
                  <c:v>375</c:v>
                </c:pt>
                <c:pt idx="276">
                  <c:v>376</c:v>
                </c:pt>
                <c:pt idx="277">
                  <c:v>377</c:v>
                </c:pt>
                <c:pt idx="278">
                  <c:v>378</c:v>
                </c:pt>
                <c:pt idx="279">
                  <c:v>379</c:v>
                </c:pt>
                <c:pt idx="280">
                  <c:v>380</c:v>
                </c:pt>
                <c:pt idx="281">
                  <c:v>381</c:v>
                </c:pt>
                <c:pt idx="282">
                  <c:v>382</c:v>
                </c:pt>
                <c:pt idx="283">
                  <c:v>383</c:v>
                </c:pt>
                <c:pt idx="284">
                  <c:v>384</c:v>
                </c:pt>
                <c:pt idx="285">
                  <c:v>385</c:v>
                </c:pt>
                <c:pt idx="286">
                  <c:v>386</c:v>
                </c:pt>
                <c:pt idx="287">
                  <c:v>387</c:v>
                </c:pt>
                <c:pt idx="288">
                  <c:v>388</c:v>
                </c:pt>
                <c:pt idx="289">
                  <c:v>389</c:v>
                </c:pt>
                <c:pt idx="290">
                  <c:v>390</c:v>
                </c:pt>
                <c:pt idx="291">
                  <c:v>391</c:v>
                </c:pt>
                <c:pt idx="292">
                  <c:v>392</c:v>
                </c:pt>
                <c:pt idx="293">
                  <c:v>393</c:v>
                </c:pt>
                <c:pt idx="294">
                  <c:v>394</c:v>
                </c:pt>
                <c:pt idx="295">
                  <c:v>395</c:v>
                </c:pt>
                <c:pt idx="296">
                  <c:v>396</c:v>
                </c:pt>
                <c:pt idx="297">
                  <c:v>397</c:v>
                </c:pt>
                <c:pt idx="298">
                  <c:v>398</c:v>
                </c:pt>
                <c:pt idx="299">
                  <c:v>399</c:v>
                </c:pt>
                <c:pt idx="300">
                  <c:v>400</c:v>
                </c:pt>
                <c:pt idx="301">
                  <c:v>401</c:v>
                </c:pt>
                <c:pt idx="302">
                  <c:v>402</c:v>
                </c:pt>
                <c:pt idx="303">
                  <c:v>403</c:v>
                </c:pt>
                <c:pt idx="304">
                  <c:v>404</c:v>
                </c:pt>
                <c:pt idx="305">
                  <c:v>405</c:v>
                </c:pt>
                <c:pt idx="306">
                  <c:v>406</c:v>
                </c:pt>
                <c:pt idx="307">
                  <c:v>407</c:v>
                </c:pt>
                <c:pt idx="308">
                  <c:v>408</c:v>
                </c:pt>
                <c:pt idx="309">
                  <c:v>409</c:v>
                </c:pt>
                <c:pt idx="310">
                  <c:v>410</c:v>
                </c:pt>
                <c:pt idx="311">
                  <c:v>411</c:v>
                </c:pt>
                <c:pt idx="312">
                  <c:v>412</c:v>
                </c:pt>
                <c:pt idx="313">
                  <c:v>413</c:v>
                </c:pt>
                <c:pt idx="314">
                  <c:v>414</c:v>
                </c:pt>
                <c:pt idx="315">
                  <c:v>415</c:v>
                </c:pt>
                <c:pt idx="316">
                  <c:v>416</c:v>
                </c:pt>
                <c:pt idx="317">
                  <c:v>417</c:v>
                </c:pt>
                <c:pt idx="318">
                  <c:v>418</c:v>
                </c:pt>
                <c:pt idx="319">
                  <c:v>419</c:v>
                </c:pt>
                <c:pt idx="320">
                  <c:v>420</c:v>
                </c:pt>
                <c:pt idx="321">
                  <c:v>421</c:v>
                </c:pt>
                <c:pt idx="322">
                  <c:v>422</c:v>
                </c:pt>
                <c:pt idx="323">
                  <c:v>423</c:v>
                </c:pt>
                <c:pt idx="324">
                  <c:v>424</c:v>
                </c:pt>
                <c:pt idx="325">
                  <c:v>425</c:v>
                </c:pt>
                <c:pt idx="326">
                  <c:v>426</c:v>
                </c:pt>
                <c:pt idx="327">
                  <c:v>427</c:v>
                </c:pt>
                <c:pt idx="328">
                  <c:v>428</c:v>
                </c:pt>
                <c:pt idx="329">
                  <c:v>429</c:v>
                </c:pt>
                <c:pt idx="330">
                  <c:v>430</c:v>
                </c:pt>
                <c:pt idx="331">
                  <c:v>431</c:v>
                </c:pt>
                <c:pt idx="332">
                  <c:v>432</c:v>
                </c:pt>
                <c:pt idx="333">
                  <c:v>433</c:v>
                </c:pt>
                <c:pt idx="334">
                  <c:v>434</c:v>
                </c:pt>
                <c:pt idx="335">
                  <c:v>435</c:v>
                </c:pt>
                <c:pt idx="336">
                  <c:v>436</c:v>
                </c:pt>
                <c:pt idx="337">
                  <c:v>437</c:v>
                </c:pt>
                <c:pt idx="338">
                  <c:v>438</c:v>
                </c:pt>
                <c:pt idx="339">
                  <c:v>439</c:v>
                </c:pt>
                <c:pt idx="340">
                  <c:v>440</c:v>
                </c:pt>
                <c:pt idx="341">
                  <c:v>441</c:v>
                </c:pt>
                <c:pt idx="342">
                  <c:v>442</c:v>
                </c:pt>
                <c:pt idx="343">
                  <c:v>443</c:v>
                </c:pt>
                <c:pt idx="344">
                  <c:v>444</c:v>
                </c:pt>
                <c:pt idx="345">
                  <c:v>445</c:v>
                </c:pt>
                <c:pt idx="346">
                  <c:v>446</c:v>
                </c:pt>
                <c:pt idx="347">
                  <c:v>447</c:v>
                </c:pt>
                <c:pt idx="348">
                  <c:v>448</c:v>
                </c:pt>
                <c:pt idx="349">
                  <c:v>449</c:v>
                </c:pt>
                <c:pt idx="350">
                  <c:v>450</c:v>
                </c:pt>
                <c:pt idx="351">
                  <c:v>451</c:v>
                </c:pt>
                <c:pt idx="352">
                  <c:v>452</c:v>
                </c:pt>
                <c:pt idx="353">
                  <c:v>453</c:v>
                </c:pt>
                <c:pt idx="354">
                  <c:v>454</c:v>
                </c:pt>
                <c:pt idx="355">
                  <c:v>455</c:v>
                </c:pt>
                <c:pt idx="356">
                  <c:v>456</c:v>
                </c:pt>
                <c:pt idx="357">
                  <c:v>457</c:v>
                </c:pt>
                <c:pt idx="358">
                  <c:v>458</c:v>
                </c:pt>
                <c:pt idx="359">
                  <c:v>459</c:v>
                </c:pt>
                <c:pt idx="360">
                  <c:v>460</c:v>
                </c:pt>
                <c:pt idx="361">
                  <c:v>461</c:v>
                </c:pt>
                <c:pt idx="362">
                  <c:v>462</c:v>
                </c:pt>
                <c:pt idx="363">
                  <c:v>463</c:v>
                </c:pt>
                <c:pt idx="364">
                  <c:v>464</c:v>
                </c:pt>
                <c:pt idx="365">
                  <c:v>465</c:v>
                </c:pt>
                <c:pt idx="366">
                  <c:v>466</c:v>
                </c:pt>
                <c:pt idx="367">
                  <c:v>467</c:v>
                </c:pt>
                <c:pt idx="368">
                  <c:v>468</c:v>
                </c:pt>
                <c:pt idx="369">
                  <c:v>469</c:v>
                </c:pt>
                <c:pt idx="370">
                  <c:v>470</c:v>
                </c:pt>
                <c:pt idx="371">
                  <c:v>471</c:v>
                </c:pt>
                <c:pt idx="372">
                  <c:v>472</c:v>
                </c:pt>
                <c:pt idx="373">
                  <c:v>473</c:v>
                </c:pt>
                <c:pt idx="374">
                  <c:v>474</c:v>
                </c:pt>
                <c:pt idx="375">
                  <c:v>475</c:v>
                </c:pt>
                <c:pt idx="376">
                  <c:v>476</c:v>
                </c:pt>
                <c:pt idx="377">
                  <c:v>477</c:v>
                </c:pt>
                <c:pt idx="378">
                  <c:v>478</c:v>
                </c:pt>
                <c:pt idx="379">
                  <c:v>479</c:v>
                </c:pt>
                <c:pt idx="380">
                  <c:v>480</c:v>
                </c:pt>
                <c:pt idx="381">
                  <c:v>481</c:v>
                </c:pt>
                <c:pt idx="382">
                  <c:v>482</c:v>
                </c:pt>
                <c:pt idx="383">
                  <c:v>483</c:v>
                </c:pt>
                <c:pt idx="384">
                  <c:v>484</c:v>
                </c:pt>
                <c:pt idx="385">
                  <c:v>485</c:v>
                </c:pt>
                <c:pt idx="386">
                  <c:v>486</c:v>
                </c:pt>
                <c:pt idx="387">
                  <c:v>487</c:v>
                </c:pt>
                <c:pt idx="388">
                  <c:v>488</c:v>
                </c:pt>
                <c:pt idx="389">
                  <c:v>489</c:v>
                </c:pt>
                <c:pt idx="390">
                  <c:v>490</c:v>
                </c:pt>
                <c:pt idx="391">
                  <c:v>491</c:v>
                </c:pt>
                <c:pt idx="392">
                  <c:v>492</c:v>
                </c:pt>
                <c:pt idx="393">
                  <c:v>493</c:v>
                </c:pt>
                <c:pt idx="394">
                  <c:v>494</c:v>
                </c:pt>
                <c:pt idx="395">
                  <c:v>495</c:v>
                </c:pt>
                <c:pt idx="396">
                  <c:v>496</c:v>
                </c:pt>
                <c:pt idx="397">
                  <c:v>497</c:v>
                </c:pt>
                <c:pt idx="398">
                  <c:v>498</c:v>
                </c:pt>
                <c:pt idx="399">
                  <c:v>499</c:v>
                </c:pt>
                <c:pt idx="400">
                  <c:v>500</c:v>
                </c:pt>
              </c:numCache>
            </c:numRef>
          </c:xVal>
          <c:yVal>
            <c:numRef>
              <c:f>'Particle Technology Tutorial 1'!$B$2:$B$402</c:f>
              <c:numCache>
                <c:formatCode>General</c:formatCode>
                <c:ptCount val="401"/>
                <c:pt idx="0">
                  <c:v>1E-3</c:v>
                </c:pt>
                <c:pt idx="1">
                  <c:v>9.802960494069209E-4</c:v>
                </c:pt>
                <c:pt idx="2">
                  <c:v>9.6116878123798542E-4</c:v>
                </c:pt>
                <c:pt idx="3">
                  <c:v>9.4259590913375435E-4</c:v>
                </c:pt>
                <c:pt idx="4">
                  <c:v>9.2455621301775143E-4</c:v>
                </c:pt>
                <c:pt idx="5">
                  <c:v>9.0702947845804993E-4</c:v>
                </c:pt>
                <c:pt idx="6">
                  <c:v>8.8999644001423999E-4</c:v>
                </c:pt>
                <c:pt idx="7">
                  <c:v>8.7343872827321163E-4</c:v>
                </c:pt>
                <c:pt idx="8">
                  <c:v>8.5733882030178323E-4</c:v>
                </c:pt>
                <c:pt idx="9">
                  <c:v>8.4167999326656005E-4</c:v>
                </c:pt>
                <c:pt idx="10">
                  <c:v>8.2644628099173552E-4</c:v>
                </c:pt>
                <c:pt idx="11">
                  <c:v>8.1162243324405491E-4</c:v>
                </c:pt>
                <c:pt idx="12">
                  <c:v>7.9719387755102043E-4</c:v>
                </c:pt>
                <c:pt idx="13">
                  <c:v>7.8314668337379589E-4</c:v>
                </c:pt>
                <c:pt idx="14">
                  <c:v>7.6946752847029858E-4</c:v>
                </c:pt>
                <c:pt idx="15">
                  <c:v>7.5614366729678643E-4</c:v>
                </c:pt>
                <c:pt idx="16">
                  <c:v>7.4316290130796675E-4</c:v>
                </c:pt>
                <c:pt idx="17">
                  <c:v>7.3051355102637158E-4</c:v>
                </c:pt>
                <c:pt idx="18">
                  <c:v>7.1818442976156278E-4</c:v>
                </c:pt>
                <c:pt idx="19">
                  <c:v>7.0616481886872392E-4</c:v>
                </c:pt>
                <c:pt idx="20">
                  <c:v>6.9444444444444447E-4</c:v>
                </c:pt>
                <c:pt idx="21">
                  <c:v>6.8301345536507074E-4</c:v>
                </c:pt>
                <c:pt idx="22">
                  <c:v>6.7186240257995165E-4</c:v>
                </c:pt>
                <c:pt idx="23">
                  <c:v>6.6098221957829333E-4</c:v>
                </c:pt>
                <c:pt idx="24">
                  <c:v>6.5036420395421437E-4</c:v>
                </c:pt>
                <c:pt idx="25">
                  <c:v>6.4000000000000005E-4</c:v>
                </c:pt>
                <c:pt idx="26">
                  <c:v>6.2988158226253462E-4</c:v>
                </c:pt>
                <c:pt idx="27">
                  <c:v>6.2000124000248004E-4</c:v>
                </c:pt>
                <c:pt idx="28">
                  <c:v>6.103515625E-4</c:v>
                </c:pt>
                <c:pt idx="29">
                  <c:v>6.0092542515473833E-4</c:v>
                </c:pt>
                <c:pt idx="30">
                  <c:v>5.9171597633136095E-4</c:v>
                </c:pt>
                <c:pt idx="31">
                  <c:v>5.8271662490530854E-4</c:v>
                </c:pt>
                <c:pt idx="32">
                  <c:v>5.7392102846648299E-4</c:v>
                </c:pt>
                <c:pt idx="33">
                  <c:v>5.6532308214144388E-4</c:v>
                </c:pt>
                <c:pt idx="34">
                  <c:v>5.5691690799732681E-4</c:v>
                </c:pt>
                <c:pt idx="35">
                  <c:v>5.4869684499314131E-4</c:v>
                </c:pt>
                <c:pt idx="36">
                  <c:v>5.4065743944636683E-4</c:v>
                </c:pt>
                <c:pt idx="37">
                  <c:v>5.327934359848687E-4</c:v>
                </c:pt>
                <c:pt idx="38">
                  <c:v>5.2509976895610171E-4</c:v>
                </c:pt>
                <c:pt idx="39">
                  <c:v>5.1757155426737742E-4</c:v>
                </c:pt>
                <c:pt idx="40">
                  <c:v>5.1020408163265311E-4</c:v>
                </c:pt>
                <c:pt idx="41">
                  <c:v>5.0299280720285703E-4</c:v>
                </c:pt>
                <c:pt idx="42">
                  <c:v>4.959333465582226E-4</c:v>
                </c:pt>
                <c:pt idx="43">
                  <c:v>4.890214680424471E-4</c:v>
                </c:pt>
                <c:pt idx="44">
                  <c:v>4.8225308641975306E-4</c:v>
                </c:pt>
                <c:pt idx="45">
                  <c:v>4.7562425683709869E-4</c:v>
                </c:pt>
                <c:pt idx="46">
                  <c:v>4.6913116907487332E-4</c:v>
                </c:pt>
                <c:pt idx="47">
                  <c:v>4.6277014207043364E-4</c:v>
                </c:pt>
                <c:pt idx="48">
                  <c:v>4.5653761869978088E-4</c:v>
                </c:pt>
                <c:pt idx="49">
                  <c:v>4.5043016080356738E-4</c:v>
                </c:pt>
                <c:pt idx="50">
                  <c:v>4.4444444444444447E-4</c:v>
                </c:pt>
                <c:pt idx="51">
                  <c:v>4.3857725538353582E-4</c:v>
                </c:pt>
                <c:pt idx="52">
                  <c:v>4.3282548476454292E-4</c:v>
                </c:pt>
                <c:pt idx="53">
                  <c:v>4.2718612499466016E-4</c:v>
                </c:pt>
                <c:pt idx="54">
                  <c:v>4.2165626581210997E-4</c:v>
                </c:pt>
                <c:pt idx="55">
                  <c:v>4.1623309053069721E-4</c:v>
                </c:pt>
                <c:pt idx="56">
                  <c:v>4.1091387245233401E-4</c:v>
                </c:pt>
                <c:pt idx="57">
                  <c:v>4.0569597143900359E-4</c:v>
                </c:pt>
                <c:pt idx="58">
                  <c:v>4.0057683063611602E-4</c:v>
                </c:pt>
                <c:pt idx="59">
                  <c:v>3.9555397333966222E-4</c:v>
                </c:pt>
                <c:pt idx="60">
                  <c:v>3.9062500000000002E-4</c:v>
                </c:pt>
                <c:pt idx="61">
                  <c:v>3.8578758535550328E-4</c:v>
                </c:pt>
                <c:pt idx="62">
                  <c:v>3.8103947568968145E-4</c:v>
                </c:pt>
                <c:pt idx="63">
                  <c:v>3.7637848620572848E-4</c:v>
                </c:pt>
                <c:pt idx="64">
                  <c:v>3.7180249851278998E-4</c:v>
                </c:pt>
                <c:pt idx="65">
                  <c:v>3.6730945821854911E-4</c:v>
                </c:pt>
                <c:pt idx="66">
                  <c:v>3.6289737262302222E-4</c:v>
                </c:pt>
                <c:pt idx="67">
                  <c:v>3.5856430850873106E-4</c:v>
                </c:pt>
                <c:pt idx="68">
                  <c:v>3.5430839002267573E-4</c:v>
                </c:pt>
                <c:pt idx="69">
                  <c:v>3.501277966457757E-4</c:v>
                </c:pt>
                <c:pt idx="70">
                  <c:v>3.4602076124567473E-4</c:v>
                </c:pt>
                <c:pt idx="71">
                  <c:v>3.4198556820902155E-4</c:v>
                </c:pt>
                <c:pt idx="72">
                  <c:v>3.380205516495403E-4</c:v>
                </c:pt>
                <c:pt idx="73">
                  <c:v>3.341240936883959E-4</c:v>
                </c:pt>
                <c:pt idx="74">
                  <c:v>3.3029462280354075E-4</c:v>
                </c:pt>
                <c:pt idx="75">
                  <c:v>3.2653061224489796E-4</c:v>
                </c:pt>
                <c:pt idx="76">
                  <c:v>3.228305785123967E-4</c:v>
                </c:pt>
                <c:pt idx="77">
                  <c:v>3.1919307989402792E-4</c:v>
                </c:pt>
                <c:pt idx="78">
                  <c:v>3.1561671506122964E-4</c:v>
                </c:pt>
                <c:pt idx="79">
                  <c:v>3.1210012171904749E-4</c:v>
                </c:pt>
                <c:pt idx="80">
                  <c:v>3.0864197530864197E-4</c:v>
                </c:pt>
                <c:pt idx="81">
                  <c:v>3.0524098775983641E-4</c:v>
                </c:pt>
                <c:pt idx="82">
                  <c:v>3.0189590629151069E-4</c:v>
                </c:pt>
                <c:pt idx="83">
                  <c:v>2.9860551225775625E-4</c:v>
                </c:pt>
                <c:pt idx="84">
                  <c:v>2.9536862003780718E-4</c:v>
                </c:pt>
                <c:pt idx="85">
                  <c:v>2.9218407596785974E-4</c:v>
                </c:pt>
                <c:pt idx="86">
                  <c:v>2.8905075731298414E-4</c:v>
                </c:pt>
                <c:pt idx="87">
                  <c:v>2.8596757127741712E-4</c:v>
                </c:pt>
                <c:pt idx="88">
                  <c:v>2.8293345405160705E-4</c:v>
                </c:pt>
                <c:pt idx="89">
                  <c:v>2.7994736989445985E-4</c:v>
                </c:pt>
                <c:pt idx="90">
                  <c:v>2.770083102493075E-4</c:v>
                </c:pt>
                <c:pt idx="91">
                  <c:v>2.7411529289219044E-4</c:v>
                </c:pt>
                <c:pt idx="92">
                  <c:v>2.7126736111111112E-4</c:v>
                </c:pt>
                <c:pt idx="93">
                  <c:v>2.6846358291497761E-4</c:v>
                </c:pt>
                <c:pt idx="94">
                  <c:v>2.6570305027101711E-4</c:v>
                </c:pt>
                <c:pt idx="95">
                  <c:v>2.6298487836949375E-4</c:v>
                </c:pt>
                <c:pt idx="96">
                  <c:v>2.6030820491461891E-4</c:v>
                </c:pt>
                <c:pt idx="97">
                  <c:v>2.5767218944059366E-4</c:v>
                </c:pt>
                <c:pt idx="98">
                  <c:v>2.5507601265177022E-4</c:v>
                </c:pt>
                <c:pt idx="99">
                  <c:v>2.5251887578596499E-4</c:v>
                </c:pt>
                <c:pt idx="100">
                  <c:v>2.5000000000000001E-4</c:v>
                </c:pt>
                <c:pt idx="101">
                  <c:v>2.4751862577658968E-4</c:v>
                </c:pt>
                <c:pt idx="102">
                  <c:v>2.4507401235173023E-4</c:v>
                </c:pt>
                <c:pt idx="103">
                  <c:v>2.4266543716178505E-4</c:v>
                </c:pt>
                <c:pt idx="104">
                  <c:v>2.4029219530949635E-4</c:v>
                </c:pt>
                <c:pt idx="105">
                  <c:v>2.379535990481856E-4</c:v>
                </c:pt>
                <c:pt idx="106">
                  <c:v>2.3564897728343859E-4</c:v>
                </c:pt>
                <c:pt idx="107">
                  <c:v>2.3337767509160073E-4</c:v>
                </c:pt>
                <c:pt idx="108">
                  <c:v>2.3113905325443786E-4</c:v>
                </c:pt>
                <c:pt idx="109">
                  <c:v>2.2893248780934502E-4</c:v>
                </c:pt>
                <c:pt idx="110">
                  <c:v>2.2675736961451248E-4</c:v>
                </c:pt>
                <c:pt idx="111">
                  <c:v>2.246131039284832E-4</c:v>
                </c:pt>
                <c:pt idx="112">
                  <c:v>2.2249911000356E-4</c:v>
                </c:pt>
                <c:pt idx="113">
                  <c:v>2.2041482069254338E-4</c:v>
                </c:pt>
                <c:pt idx="114">
                  <c:v>2.1835968206830291E-4</c:v>
                </c:pt>
                <c:pt idx="115">
                  <c:v>2.1633315305570578E-4</c:v>
                </c:pt>
                <c:pt idx="116">
                  <c:v>2.1433470507544581E-4</c:v>
                </c:pt>
                <c:pt idx="117">
                  <c:v>2.1236382169933531E-4</c:v>
                </c:pt>
                <c:pt idx="118">
                  <c:v>2.1041999831664001E-4</c:v>
                </c:pt>
                <c:pt idx="119">
                  <c:v>2.0850274181105481E-4</c:v>
                </c:pt>
                <c:pt idx="120">
                  <c:v>2.0661157024793388E-4</c:v>
                </c:pt>
                <c:pt idx="121">
                  <c:v>2.0474601257140516E-4</c:v>
                </c:pt>
                <c:pt idx="122">
                  <c:v>2.0290560831101373E-4</c:v>
                </c:pt>
                <c:pt idx="123">
                  <c:v>2.0108990729755273E-4</c:v>
                </c:pt>
                <c:pt idx="124">
                  <c:v>1.9929846938775511E-4</c:v>
                </c:pt>
                <c:pt idx="125">
                  <c:v>1.9753086419753085E-4</c:v>
                </c:pt>
                <c:pt idx="126">
                  <c:v>1.9578667084344897E-4</c:v>
                </c:pt>
                <c:pt idx="127">
                  <c:v>1.9406547769217333E-4</c:v>
                </c:pt>
                <c:pt idx="128">
                  <c:v>1.9236688211757464E-4</c:v>
                </c:pt>
                <c:pt idx="129">
                  <c:v>1.9069049026525047E-4</c:v>
                </c:pt>
                <c:pt idx="130">
                  <c:v>1.8903591682419661E-4</c:v>
                </c:pt>
                <c:pt idx="131">
                  <c:v>1.874027848053822E-4</c:v>
                </c:pt>
                <c:pt idx="132">
                  <c:v>1.8579072532699169E-4</c:v>
                </c:pt>
                <c:pt idx="133">
                  <c:v>1.8419937740610438E-4</c:v>
                </c:pt>
                <c:pt idx="134">
                  <c:v>1.8262838775659289E-4</c:v>
                </c:pt>
                <c:pt idx="135">
                  <c:v>1.8107741059302852E-4</c:v>
                </c:pt>
                <c:pt idx="136">
                  <c:v>1.795461074403907E-4</c:v>
                </c:pt>
                <c:pt idx="137">
                  <c:v>1.7803414694938488E-4</c:v>
                </c:pt>
                <c:pt idx="138">
                  <c:v>1.7654120471718098E-4</c:v>
                </c:pt>
                <c:pt idx="139">
                  <c:v>1.7506696311339086E-4</c:v>
                </c:pt>
                <c:pt idx="140">
                  <c:v>1.7361111111111112E-4</c:v>
                </c:pt>
                <c:pt idx="141">
                  <c:v>1.721733441228629E-4</c:v>
                </c:pt>
                <c:pt idx="142">
                  <c:v>1.7075336384126768E-4</c:v>
                </c:pt>
                <c:pt idx="143">
                  <c:v>1.6935087808430286E-4</c:v>
                </c:pt>
                <c:pt idx="144">
                  <c:v>1.6796560064498791E-4</c:v>
                </c:pt>
                <c:pt idx="145">
                  <c:v>1.665972511453561E-4</c:v>
                </c:pt>
                <c:pt idx="146">
                  <c:v>1.6524555489457333E-4</c:v>
                </c:pt>
                <c:pt idx="147">
                  <c:v>1.6391024275106951E-4</c:v>
                </c:pt>
                <c:pt idx="148">
                  <c:v>1.6259105098855359E-4</c:v>
                </c:pt>
                <c:pt idx="149">
                  <c:v>1.6128772116578765E-4</c:v>
                </c:pt>
                <c:pt idx="150">
                  <c:v>1.6000000000000001E-4</c:v>
                </c:pt>
                <c:pt idx="151">
                  <c:v>1.5872763924382153E-4</c:v>
                </c:pt>
                <c:pt idx="152">
                  <c:v>1.5747039556563366E-4</c:v>
                </c:pt>
                <c:pt idx="153">
                  <c:v>1.5622803043322032E-4</c:v>
                </c:pt>
                <c:pt idx="154">
                  <c:v>1.5500031000062001E-4</c:v>
                </c:pt>
                <c:pt idx="155">
                  <c:v>1.5378700499807767E-4</c:v>
                </c:pt>
                <c:pt idx="156">
                  <c:v>1.52587890625E-4</c:v>
                </c:pt>
                <c:pt idx="157">
                  <c:v>1.5140274644582052E-4</c:v>
                </c:pt>
                <c:pt idx="158">
                  <c:v>1.5023135628868458E-4</c:v>
                </c:pt>
                <c:pt idx="159">
                  <c:v>1.4907350814686722E-4</c:v>
                </c:pt>
                <c:pt idx="160">
                  <c:v>1.4792899408284024E-4</c:v>
                </c:pt>
                <c:pt idx="161">
                  <c:v>1.46797610134907E-4</c:v>
                </c:pt>
                <c:pt idx="162">
                  <c:v>1.4567915622632713E-4</c:v>
                </c:pt>
                <c:pt idx="163">
                  <c:v>1.4457343607685524E-4</c:v>
                </c:pt>
                <c:pt idx="164">
                  <c:v>1.4348025711662075E-4</c:v>
                </c:pt>
                <c:pt idx="165">
                  <c:v>1.4239943040227838E-4</c:v>
                </c:pt>
                <c:pt idx="166">
                  <c:v>1.4133077053536097E-4</c:v>
                </c:pt>
                <c:pt idx="167">
                  <c:v>1.4027409558276874E-4</c:v>
                </c:pt>
                <c:pt idx="168">
                  <c:v>1.392292269993317E-4</c:v>
                </c:pt>
                <c:pt idx="169">
                  <c:v>1.3819598955238318E-4</c:v>
                </c:pt>
                <c:pt idx="170">
                  <c:v>1.3717421124828533E-4</c:v>
                </c:pt>
                <c:pt idx="171">
                  <c:v>1.3616372326084885E-4</c:v>
                </c:pt>
                <c:pt idx="172">
                  <c:v>1.3516435986159171E-4</c:v>
                </c:pt>
                <c:pt idx="173">
                  <c:v>1.3417595835178253E-4</c:v>
                </c:pt>
                <c:pt idx="174">
                  <c:v>1.3319835899621717E-4</c:v>
                </c:pt>
                <c:pt idx="175">
                  <c:v>1.3223140495867769E-4</c:v>
                </c:pt>
                <c:pt idx="176">
                  <c:v>1.3127494223902543E-4</c:v>
                </c:pt>
                <c:pt idx="177">
                  <c:v>1.3032881961188078E-4</c:v>
                </c:pt>
                <c:pt idx="178">
                  <c:v>1.2939288856684435E-4</c:v>
                </c:pt>
                <c:pt idx="179">
                  <c:v>1.2846700325021518E-4</c:v>
                </c:pt>
                <c:pt idx="180">
                  <c:v>1.2755102040816328E-4</c:v>
                </c:pt>
                <c:pt idx="181">
                  <c:v>1.2664479933131547E-4</c:v>
                </c:pt>
                <c:pt idx="182">
                  <c:v>1.2574820180071426E-4</c:v>
                </c:pt>
                <c:pt idx="183">
                  <c:v>1.2486109203511093E-4</c:v>
                </c:pt>
                <c:pt idx="184">
                  <c:v>1.2398333663955565E-4</c:v>
                </c:pt>
                <c:pt idx="185">
                  <c:v>1.2311480455524777E-4</c:v>
                </c:pt>
                <c:pt idx="186">
                  <c:v>1.2225536701061178E-4</c:v>
                </c:pt>
                <c:pt idx="187">
                  <c:v>1.2140489747356408E-4</c:v>
                </c:pt>
                <c:pt idx="188">
                  <c:v>1.2056327160493826E-4</c:v>
                </c:pt>
                <c:pt idx="189">
                  <c:v>1.1973036721303624E-4</c:v>
                </c:pt>
                <c:pt idx="190">
                  <c:v>1.1890606420927467E-4</c:v>
                </c:pt>
                <c:pt idx="191">
                  <c:v>1.1809024456489649E-4</c:v>
                </c:pt>
                <c:pt idx="192">
                  <c:v>1.1728279226871833E-4</c:v>
                </c:pt>
                <c:pt idx="193">
                  <c:v>1.1648359328588569E-4</c:v>
                </c:pt>
                <c:pt idx="194">
                  <c:v>1.1569253551760841E-4</c:v>
                </c:pt>
                <c:pt idx="195">
                  <c:v>1.1490950876185004E-4</c:v>
                </c:pt>
                <c:pt idx="196">
                  <c:v>1.1413440467494522E-4</c:v>
                </c:pt>
                <c:pt idx="197">
                  <c:v>1.1336711673412011E-4</c:v>
                </c:pt>
                <c:pt idx="198">
                  <c:v>1.1260754020089185E-4</c:v>
                </c:pt>
                <c:pt idx="199">
                  <c:v>1.1185557208532343E-4</c:v>
                </c:pt>
                <c:pt idx="200">
                  <c:v>1.1111111111111112E-4</c:v>
                </c:pt>
                <c:pt idx="201">
                  <c:v>1.1037405768148254E-4</c:v>
                </c:pt>
                <c:pt idx="202">
                  <c:v>1.0964431384588396E-4</c:v>
                </c:pt>
                <c:pt idx="203">
                  <c:v>1.0892178326743565E-4</c:v>
                </c:pt>
                <c:pt idx="204">
                  <c:v>1.0820637119113573E-4</c:v>
                </c:pt>
                <c:pt idx="205">
                  <c:v>1.0749798441279227E-4</c:v>
                </c:pt>
                <c:pt idx="206">
                  <c:v>1.0679653124866504E-4</c:v>
                </c:pt>
                <c:pt idx="207">
                  <c:v>1.0610192150579847E-4</c:v>
                </c:pt>
                <c:pt idx="208">
                  <c:v>1.0541406645302749E-4</c:v>
                </c:pt>
                <c:pt idx="209">
                  <c:v>1.0473287879263938E-4</c:v>
                </c:pt>
                <c:pt idx="210">
                  <c:v>1.040582726326743E-4</c:v>
                </c:pt>
                <c:pt idx="211">
                  <c:v>1.0339016345984842E-4</c:v>
                </c:pt>
                <c:pt idx="212">
                  <c:v>1.027284681130835E-4</c:v>
                </c:pt>
                <c:pt idx="213">
                  <c:v>1.0207310475762741E-4</c:v>
                </c:pt>
                <c:pt idx="214">
                  <c:v>1.014239928597509E-4</c:v>
                </c:pt>
                <c:pt idx="215">
                  <c:v>1.0078105316200554E-4</c:v>
                </c:pt>
                <c:pt idx="216">
                  <c:v>1.0014420765902901E-4</c:v>
                </c:pt>
                <c:pt idx="217">
                  <c:v>9.9513379573883712E-5</c:v>
                </c:pt>
                <c:pt idx="218">
                  <c:v>9.8888493334915555E-5</c:v>
                </c:pt>
                <c:pt idx="219">
                  <c:v>9.8269474553119569E-5</c:v>
                </c:pt>
                <c:pt idx="220">
                  <c:v>9.7656250000000005E-5</c:v>
                </c:pt>
                <c:pt idx="221">
                  <c:v>9.7048747585912402E-5</c:v>
                </c:pt>
                <c:pt idx="222">
                  <c:v>9.6446896338875821E-5</c:v>
                </c:pt>
                <c:pt idx="223">
                  <c:v>9.585062638384342E-5</c:v>
                </c:pt>
                <c:pt idx="224">
                  <c:v>9.5259868922420362E-5</c:v>
                </c:pt>
                <c:pt idx="225">
                  <c:v>9.4674556213017751E-5</c:v>
                </c:pt>
                <c:pt idx="226">
                  <c:v>9.4094621551432119E-5</c:v>
                </c:pt>
                <c:pt idx="227">
                  <c:v>9.3519999251840002E-5</c:v>
                </c:pt>
                <c:pt idx="228">
                  <c:v>9.2950624628197496E-5</c:v>
                </c:pt>
                <c:pt idx="229">
                  <c:v>9.2386433976034965E-5</c:v>
                </c:pt>
                <c:pt idx="230">
                  <c:v>9.1827364554637278E-5</c:v>
                </c:pt>
                <c:pt idx="231">
                  <c:v>9.1273354569600492E-5</c:v>
                </c:pt>
                <c:pt idx="232">
                  <c:v>9.0724343155755555E-5</c:v>
                </c:pt>
                <c:pt idx="233">
                  <c:v>9.0180270360450547E-5</c:v>
                </c:pt>
                <c:pt idx="234">
                  <c:v>8.9641077127182765E-5</c:v>
                </c:pt>
                <c:pt idx="235">
                  <c:v>8.910670527957229E-5</c:v>
                </c:pt>
                <c:pt idx="236">
                  <c:v>8.8577097505668933E-5</c:v>
                </c:pt>
                <c:pt idx="237">
                  <c:v>8.8052197342584687E-5</c:v>
                </c:pt>
                <c:pt idx="238">
                  <c:v>8.7531949161443926E-5</c:v>
                </c:pt>
                <c:pt idx="239">
                  <c:v>8.7016298152643994E-5</c:v>
                </c:pt>
                <c:pt idx="240">
                  <c:v>8.6505190311418682E-5</c:v>
                </c:pt>
                <c:pt idx="241">
                  <c:v>8.5998572423697769E-5</c:v>
                </c:pt>
                <c:pt idx="242">
                  <c:v>8.5496392052255389E-5</c:v>
                </c:pt>
                <c:pt idx="243">
                  <c:v>8.4998597523140872E-5</c:v>
                </c:pt>
                <c:pt idx="244">
                  <c:v>8.4505137912385076E-5</c:v>
                </c:pt>
                <c:pt idx="245">
                  <c:v>8.4015963032976269E-5</c:v>
                </c:pt>
                <c:pt idx="246">
                  <c:v>8.3531023422098974E-5</c:v>
                </c:pt>
                <c:pt idx="247">
                  <c:v>8.3050270328629923E-5</c:v>
                </c:pt>
                <c:pt idx="248">
                  <c:v>8.2573655700885187E-5</c:v>
                </c:pt>
                <c:pt idx="249">
                  <c:v>8.2101132174612691E-5</c:v>
                </c:pt>
                <c:pt idx="250">
                  <c:v>8.163265306122449E-5</c:v>
                </c:pt>
                <c:pt idx="251">
                  <c:v>8.1168172336263498E-5</c:v>
                </c:pt>
                <c:pt idx="252">
                  <c:v>8.0707644628099176E-5</c:v>
                </c:pt>
                <c:pt idx="253">
                  <c:v>8.0251025206847014E-5</c:v>
                </c:pt>
                <c:pt idx="254">
                  <c:v>7.979826997350698E-5</c:v>
                </c:pt>
                <c:pt idx="255">
                  <c:v>7.9349335449315612E-5</c:v>
                </c:pt>
                <c:pt idx="256">
                  <c:v>7.8904178765307409E-5</c:v>
                </c:pt>
                <c:pt idx="257">
                  <c:v>7.8462757652080447E-5</c:v>
                </c:pt>
                <c:pt idx="258">
                  <c:v>7.8025030429761872E-5</c:v>
                </c:pt>
                <c:pt idx="259">
                  <c:v>7.759095599816886E-5</c:v>
                </c:pt>
                <c:pt idx="260">
                  <c:v>7.7160493827160492E-5</c:v>
                </c:pt>
                <c:pt idx="261">
                  <c:v>7.6733603947176584E-5</c:v>
                </c:pt>
                <c:pt idx="262">
                  <c:v>7.6310246939959101E-5</c:v>
                </c:pt>
                <c:pt idx="263">
                  <c:v>7.5890383929452297E-5</c:v>
                </c:pt>
                <c:pt idx="264">
                  <c:v>7.5473976572877673E-5</c:v>
                </c:pt>
                <c:pt idx="265">
                  <c:v>7.5060987051979732E-5</c:v>
                </c:pt>
                <c:pt idx="266">
                  <c:v>7.4651378064439063E-5</c:v>
                </c:pt>
                <c:pt idx="267">
                  <c:v>7.4245112815448923E-5</c:v>
                </c:pt>
                <c:pt idx="268">
                  <c:v>7.3842155009451796E-5</c:v>
                </c:pt>
                <c:pt idx="269">
                  <c:v>7.3442468842032599E-5</c:v>
                </c:pt>
                <c:pt idx="270">
                  <c:v>7.3046018991964934E-5</c:v>
                </c:pt>
                <c:pt idx="271">
                  <c:v>7.2652770613407337E-5</c:v>
                </c:pt>
                <c:pt idx="272">
                  <c:v>7.2262689328246035E-5</c:v>
                </c:pt>
                <c:pt idx="273">
                  <c:v>7.1875741218581317E-5</c:v>
                </c:pt>
                <c:pt idx="274">
                  <c:v>7.1491892819354279E-5</c:v>
                </c:pt>
                <c:pt idx="275">
                  <c:v>7.1111111111111106E-5</c:v>
                </c:pt>
                <c:pt idx="276">
                  <c:v>7.0733363512901761E-5</c:v>
                </c:pt>
                <c:pt idx="277">
                  <c:v>7.0358617875310452E-5</c:v>
                </c:pt>
                <c:pt idx="278">
                  <c:v>6.9986842473614963E-5</c:v>
                </c:pt>
                <c:pt idx="279">
                  <c:v>6.9618006001072113E-5</c:v>
                </c:pt>
                <c:pt idx="280">
                  <c:v>6.9252077562326875E-5</c:v>
                </c:pt>
                <c:pt idx="281">
                  <c:v>6.8889026666942225E-5</c:v>
                </c:pt>
                <c:pt idx="282">
                  <c:v>6.852882322304761E-5</c:v>
                </c:pt>
                <c:pt idx="283">
                  <c:v>6.8171437531103221E-5</c:v>
                </c:pt>
                <c:pt idx="284">
                  <c:v>6.7816840277777781E-5</c:v>
                </c:pt>
                <c:pt idx="285">
                  <c:v>6.7465002529937596E-5</c:v>
                </c:pt>
                <c:pt idx="286">
                  <c:v>6.7115895728744402E-5</c:v>
                </c:pt>
                <c:pt idx="287">
                  <c:v>6.6769491683859816E-5</c:v>
                </c:pt>
                <c:pt idx="288">
                  <c:v>6.6425762567754278E-5</c:v>
                </c:pt>
                <c:pt idx="289">
                  <c:v>6.6084680910118219E-5</c:v>
                </c:pt>
                <c:pt idx="290">
                  <c:v>6.5746219592373436E-5</c:v>
                </c:pt>
                <c:pt idx="291">
                  <c:v>6.5410351842282562E-5</c:v>
                </c:pt>
                <c:pt idx="292">
                  <c:v>6.5077051228654728E-5</c:v>
                </c:pt>
                <c:pt idx="293">
                  <c:v>6.4746291656145395E-5</c:v>
                </c:pt>
                <c:pt idx="294">
                  <c:v>6.4418047360148415E-5</c:v>
                </c:pt>
                <c:pt idx="295">
                  <c:v>6.4092292901778565E-5</c:v>
                </c:pt>
                <c:pt idx="296">
                  <c:v>6.3769003162942556E-5</c:v>
                </c:pt>
                <c:pt idx="297">
                  <c:v>6.3448153341496991E-5</c:v>
                </c:pt>
                <c:pt idx="298">
                  <c:v>6.3129718946491247E-5</c:v>
                </c:pt>
                <c:pt idx="299">
                  <c:v>6.2813675793493753E-5</c:v>
                </c:pt>
                <c:pt idx="300">
                  <c:v>6.2500000000000001E-5</c:v>
                </c:pt>
                <c:pt idx="301">
                  <c:v>6.2188667980920517E-5</c:v>
                </c:pt>
                <c:pt idx="302">
                  <c:v>6.1879656444147421E-5</c:v>
                </c:pt>
                <c:pt idx="303">
                  <c:v>6.1572942386197804E-5</c:v>
                </c:pt>
                <c:pt idx="304">
                  <c:v>6.1268503087932557E-5</c:v>
                </c:pt>
                <c:pt idx="305">
                  <c:v>6.096631611034903E-5</c:v>
                </c:pt>
                <c:pt idx="306">
                  <c:v>6.0666359290446263E-5</c:v>
                </c:pt>
                <c:pt idx="307">
                  <c:v>6.0368610737161103E-5</c:v>
                </c:pt>
                <c:pt idx="308">
                  <c:v>6.0073048827374089E-5</c:v>
                </c:pt>
                <c:pt idx="309">
                  <c:v>5.9779652201983492E-5</c:v>
                </c:pt>
                <c:pt idx="310">
                  <c:v>5.94883997620464E-5</c:v>
                </c:pt>
                <c:pt idx="311">
                  <c:v>5.9199270664985406E-5</c:v>
                </c:pt>
                <c:pt idx="312">
                  <c:v>5.8912244320859647E-5</c:v>
                </c:pt>
                <c:pt idx="313">
                  <c:v>5.8627300388699002E-5</c:v>
                </c:pt>
                <c:pt idx="314">
                  <c:v>5.8344418772900182E-5</c:v>
                </c:pt>
                <c:pt idx="315">
                  <c:v>5.8063579619683551E-5</c:v>
                </c:pt>
                <c:pt idx="316">
                  <c:v>5.7784763313609464E-5</c:v>
                </c:pt>
                <c:pt idx="317">
                  <c:v>5.7507950474153054E-5</c:v>
                </c:pt>
                <c:pt idx="318">
                  <c:v>5.7233121952336256E-5</c:v>
                </c:pt>
                <c:pt idx="319">
                  <c:v>5.6960258827416114E-5</c:v>
                </c:pt>
                <c:pt idx="320">
                  <c:v>5.6689342403628121E-5</c:v>
                </c:pt>
                <c:pt idx="321">
                  <c:v>5.6420354206983709E-5</c:v>
                </c:pt>
                <c:pt idx="322">
                  <c:v>5.6153275982120799E-5</c:v>
                </c:pt>
                <c:pt idx="323">
                  <c:v>5.5888089689206336E-5</c:v>
                </c:pt>
                <c:pt idx="324">
                  <c:v>5.5624777500889999E-5</c:v>
                </c:pt>
                <c:pt idx="325">
                  <c:v>5.5363321799307956E-5</c:v>
                </c:pt>
                <c:pt idx="326">
                  <c:v>5.5103705173135844E-5</c:v>
                </c:pt>
                <c:pt idx="327">
                  <c:v>5.4845910414689926E-5</c:v>
                </c:pt>
                <c:pt idx="328">
                  <c:v>5.4589920517075727E-5</c:v>
                </c:pt>
                <c:pt idx="329">
                  <c:v>5.4335718671383005E-5</c:v>
                </c:pt>
                <c:pt idx="330">
                  <c:v>5.4083288263926445E-5</c:v>
                </c:pt>
                <c:pt idx="331">
                  <c:v>5.3832612873531041E-5</c:v>
                </c:pt>
                <c:pt idx="332">
                  <c:v>5.3583676268861452E-5</c:v>
                </c:pt>
                <c:pt idx="333">
                  <c:v>5.3336462405794474E-5</c:v>
                </c:pt>
                <c:pt idx="334">
                  <c:v>5.3090955424833827E-5</c:v>
                </c:pt>
                <c:pt idx="335">
                  <c:v>5.2847139648566518E-5</c:v>
                </c:pt>
                <c:pt idx="336">
                  <c:v>5.2604999579160003E-5</c:v>
                </c:pt>
                <c:pt idx="337">
                  <c:v>5.2364519895899337E-5</c:v>
                </c:pt>
                <c:pt idx="338">
                  <c:v>5.2125685452763702E-5</c:v>
                </c:pt>
                <c:pt idx="339">
                  <c:v>5.188848127604153E-5</c:v>
                </c:pt>
                <c:pt idx="340">
                  <c:v>5.165289256198347E-5</c:v>
                </c:pt>
                <c:pt idx="341">
                  <c:v>5.1418904674492621E-5</c:v>
                </c:pt>
                <c:pt idx="342">
                  <c:v>5.118650314285129E-5</c:v>
                </c:pt>
                <c:pt idx="343">
                  <c:v>5.0955673659483614E-5</c:v>
                </c:pt>
                <c:pt idx="344">
                  <c:v>5.0726402077753432E-5</c:v>
                </c:pt>
                <c:pt idx="345">
                  <c:v>5.0498674409796743E-5</c:v>
                </c:pt>
                <c:pt idx="346">
                  <c:v>5.0272476824388183E-5</c:v>
                </c:pt>
                <c:pt idx="347">
                  <c:v>5.0047795644840821E-5</c:v>
                </c:pt>
                <c:pt idx="348">
                  <c:v>4.9824617346938777E-5</c:v>
                </c:pt>
                <c:pt idx="349">
                  <c:v>4.9602928556902E-5</c:v>
                </c:pt>
                <c:pt idx="350">
                  <c:v>4.9382716049382713E-5</c:v>
                </c:pt>
                <c:pt idx="351">
                  <c:v>4.9163966745492893E-5</c:v>
                </c:pt>
                <c:pt idx="352">
                  <c:v>4.8946667710862243E-5</c:v>
                </c:pt>
                <c:pt idx="353">
                  <c:v>4.8730806153726201E-5</c:v>
                </c:pt>
                <c:pt idx="354">
                  <c:v>4.8516369423043332E-5</c:v>
                </c:pt>
                <c:pt idx="355">
                  <c:v>4.8303345006641713E-5</c:v>
                </c:pt>
                <c:pt idx="356">
                  <c:v>4.8091720529393661E-5</c:v>
                </c:pt>
                <c:pt idx="357">
                  <c:v>4.7881483751418492E-5</c:v>
                </c:pt>
                <c:pt idx="358">
                  <c:v>4.7672622566312617E-5</c:v>
                </c:pt>
                <c:pt idx="359">
                  <c:v>4.7465124999406686E-5</c:v>
                </c:pt>
                <c:pt idx="360">
                  <c:v>4.7258979206049152E-5</c:v>
                </c:pt>
                <c:pt idx="361">
                  <c:v>4.7054173469915916E-5</c:v>
                </c:pt>
                <c:pt idx="362">
                  <c:v>4.685069620134555E-5</c:v>
                </c:pt>
                <c:pt idx="363">
                  <c:v>4.664853593569966E-5</c:v>
                </c:pt>
                <c:pt idx="364">
                  <c:v>4.6447681331747922E-5</c:v>
                </c:pt>
                <c:pt idx="365">
                  <c:v>4.6248121170077466E-5</c:v>
                </c:pt>
                <c:pt idx="366">
                  <c:v>4.6049844351526094E-5</c:v>
                </c:pt>
                <c:pt idx="367">
                  <c:v>4.5852839895638939E-5</c:v>
                </c:pt>
                <c:pt idx="368">
                  <c:v>4.5657096939148223E-5</c:v>
                </c:pt>
                <c:pt idx="369">
                  <c:v>4.5462604734475657E-5</c:v>
                </c:pt>
                <c:pt idx="370">
                  <c:v>4.526935264825713E-5</c:v>
                </c:pt>
                <c:pt idx="371">
                  <c:v>4.5077330159889292E-5</c:v>
                </c:pt>
                <c:pt idx="372">
                  <c:v>4.4886526860097674E-5</c:v>
                </c:pt>
                <c:pt idx="373">
                  <c:v>4.4696932449525992E-5</c:v>
                </c:pt>
                <c:pt idx="374">
                  <c:v>4.450853673734622E-5</c:v>
                </c:pt>
                <c:pt idx="375">
                  <c:v>4.4321329639889195E-5</c:v>
                </c:pt>
                <c:pt idx="376">
                  <c:v>4.4135301179295245E-5</c:v>
                </c:pt>
                <c:pt idx="377">
                  <c:v>4.395044148218469E-5</c:v>
                </c:pt>
                <c:pt idx="378">
                  <c:v>4.3766740778347715E-5</c:v>
                </c:pt>
                <c:pt idx="379">
                  <c:v>4.3584189399453452E-5</c:v>
                </c:pt>
                <c:pt idx="380">
                  <c:v>4.3402777777777779E-5</c:v>
                </c:pt>
                <c:pt idx="381">
                  <c:v>4.3222496444949671E-5</c:v>
                </c:pt>
                <c:pt idx="382">
                  <c:v>4.3043336030715726E-5</c:v>
                </c:pt>
                <c:pt idx="383">
                  <c:v>4.2865287261722585E-5</c:v>
                </c:pt>
                <c:pt idx="384">
                  <c:v>4.2688340960316921E-5</c:v>
                </c:pt>
                <c:pt idx="385">
                  <c:v>4.2512488043362738E-5</c:v>
                </c:pt>
                <c:pt idx="386">
                  <c:v>4.2337719521075714E-5</c:v>
                </c:pt>
                <c:pt idx="387">
                  <c:v>4.2164026495874252E-5</c:v>
                </c:pt>
                <c:pt idx="388">
                  <c:v>4.1991400161246978E-5</c:v>
                </c:pt>
                <c:pt idx="389">
                  <c:v>4.1819831800636501E-5</c:v>
                </c:pt>
                <c:pt idx="390">
                  <c:v>4.1649312786339026E-5</c:v>
                </c:pt>
                <c:pt idx="391">
                  <c:v>4.1479834578419699E-5</c:v>
                </c:pt>
                <c:pt idx="392">
                  <c:v>4.1311388723643333E-5</c:v>
                </c:pt>
                <c:pt idx="393">
                  <c:v>4.1143966854420299E-5</c:v>
                </c:pt>
                <c:pt idx="394">
                  <c:v>4.0977560687767378E-5</c:v>
                </c:pt>
                <c:pt idx="395">
                  <c:v>4.0812162024283233E-5</c:v>
                </c:pt>
                <c:pt idx="396">
                  <c:v>4.0647762747138398E-5</c:v>
                </c:pt>
                <c:pt idx="397">
                  <c:v>4.0484354821079393E-5</c:v>
                </c:pt>
                <c:pt idx="398">
                  <c:v>4.0321930291446913E-5</c:v>
                </c:pt>
                <c:pt idx="399">
                  <c:v>4.01604812832077E-5</c:v>
                </c:pt>
                <c:pt idx="400">
                  <c:v>4.0000000000000003E-5</c:v>
                </c:pt>
              </c:numCache>
            </c:numRef>
          </c:yVal>
          <c:smooth val="1"/>
          <c:extLst>
            <c:ext xmlns:c16="http://schemas.microsoft.com/office/drawing/2014/chart" uri="{C3380CC4-5D6E-409C-BE32-E72D297353CC}">
              <c16:uniqueId val="{00000000-5092-A047-A840-AF97764F4948}"/>
            </c:ext>
          </c:extLst>
        </c:ser>
        <c:dLbls>
          <c:showLegendKey val="0"/>
          <c:showVal val="0"/>
          <c:showCatName val="0"/>
          <c:showSerName val="0"/>
          <c:showPercent val="0"/>
          <c:showBubbleSize val="0"/>
        </c:dLbls>
        <c:axId val="1669524736"/>
        <c:axId val="163384943"/>
      </c:scatterChart>
      <c:valAx>
        <c:axId val="166952473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Mixing Speed RPM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4943"/>
        <c:crosses val="autoZero"/>
        <c:crossBetween val="midCat"/>
      </c:valAx>
      <c:valAx>
        <c:axId val="16338494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Droplet Diameter (m)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95247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rnd">
              <a:solidFill>
                <a:schemeClr val="tx1"/>
              </a:solidFill>
              <a:round/>
            </a:ln>
            <a:effectLst/>
          </c:spPr>
          <c:marker>
            <c:symbol val="none"/>
          </c:marker>
          <c:dPt>
            <c:idx val="5"/>
            <c:marker>
              <c:symbol val="square"/>
              <c:size val="8"/>
              <c:spPr>
                <a:solidFill>
                  <a:srgbClr val="FFFF00"/>
                </a:solidFill>
                <a:ln w="9525">
                  <a:solidFill>
                    <a:schemeClr val="tx1"/>
                  </a:solidFill>
                </a:ln>
                <a:effectLst/>
              </c:spPr>
            </c:marker>
            <c:bubble3D val="0"/>
            <c:extLst>
              <c:ext xmlns:c16="http://schemas.microsoft.com/office/drawing/2014/chart" uri="{C3380CC4-5D6E-409C-BE32-E72D297353CC}">
                <c16:uniqueId val="{00000002-CCDE-2F4F-850C-6CF2D1C67073}"/>
              </c:ext>
            </c:extLst>
          </c:dPt>
          <c:dPt>
            <c:idx val="15"/>
            <c:marker>
              <c:symbol val="square"/>
              <c:size val="8"/>
              <c:spPr>
                <a:solidFill>
                  <a:schemeClr val="accent1">
                    <a:lumMod val="20000"/>
                    <a:lumOff val="80000"/>
                  </a:schemeClr>
                </a:solidFill>
                <a:ln w="9525">
                  <a:solidFill>
                    <a:schemeClr val="tx1"/>
                  </a:solidFill>
                </a:ln>
                <a:effectLst/>
              </c:spPr>
            </c:marker>
            <c:bubble3D val="0"/>
            <c:extLst>
              <c:ext xmlns:c16="http://schemas.microsoft.com/office/drawing/2014/chart" uri="{C3380CC4-5D6E-409C-BE32-E72D297353CC}">
                <c16:uniqueId val="{00000001-CCDE-2F4F-850C-6CF2D1C67073}"/>
              </c:ext>
            </c:extLst>
          </c:dPt>
          <c:xVal>
            <c:numRef>
              <c:f>'Advanced Reactors Tutorial 2'!$A$2:$A$22</c:f>
              <c:numCache>
                <c:formatCode>General</c:formatCode>
                <c:ptCount val="2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numCache>
            </c:numRef>
          </c:xVal>
          <c:yVal>
            <c:numRef>
              <c:f>'Advanced Reactors Tutorial 2'!$G$2:$G$22</c:f>
              <c:numCache>
                <c:formatCode>General</c:formatCode>
                <c:ptCount val="21"/>
                <c:pt idx="0">
                  <c:v>0.99979327159058651</c:v>
                </c:pt>
                <c:pt idx="1">
                  <c:v>0.99962488200229516</c:v>
                </c:pt>
                <c:pt idx="2">
                  <c:v>0.99933359116811793</c:v>
                </c:pt>
                <c:pt idx="3">
                  <c:v>0.99883972783087505</c:v>
                </c:pt>
                <c:pt idx="4">
                  <c:v>0.99801840805614828</c:v>
                </c:pt>
                <c:pt idx="5">
                  <c:v>0.99667774086378735</c:v>
                </c:pt>
                <c:pt idx="6">
                  <c:v>0.99452886993334078</c:v>
                </c:pt>
                <c:pt idx="7">
                  <c:v>0.9911464489149594</c:v>
                </c:pt>
                <c:pt idx="8">
                  <c:v>0.98591948678526919</c:v>
                </c:pt>
                <c:pt idx="9">
                  <c:v>0.97799579479223786</c:v>
                </c:pt>
                <c:pt idx="10">
                  <c:v>0.96622989025205219</c:v>
                </c:pt>
                <c:pt idx="11">
                  <c:v>0.94915554955755688</c:v>
                </c:pt>
                <c:pt idx="12">
                  <c:v>0.92502010718539363</c:v>
                </c:pt>
                <c:pt idx="13">
                  <c:v>0.89193288876275989</c:v>
                </c:pt>
                <c:pt idx="14">
                  <c:v>0.84817972912425155</c:v>
                </c:pt>
                <c:pt idx="15">
                  <c:v>0.79271365652318015</c:v>
                </c:pt>
                <c:pt idx="16">
                  <c:v>0.72572892958870239</c:v>
                </c:pt>
                <c:pt idx="17">
                  <c:v>0.64909004455137687</c:v>
                </c:pt>
                <c:pt idx="18">
                  <c:v>0.56632743490702486</c:v>
                </c:pt>
                <c:pt idx="19">
                  <c:v>0.48205282585663073</c:v>
                </c:pt>
                <c:pt idx="20">
                  <c:v>0.40096523851410115</c:v>
                </c:pt>
              </c:numCache>
            </c:numRef>
          </c:yVal>
          <c:smooth val="1"/>
          <c:extLst>
            <c:ext xmlns:c16="http://schemas.microsoft.com/office/drawing/2014/chart" uri="{C3380CC4-5D6E-409C-BE32-E72D297353CC}">
              <c16:uniqueId val="{00000000-CCDE-2F4F-850C-6CF2D1C67073}"/>
            </c:ext>
          </c:extLst>
        </c:ser>
        <c:dLbls>
          <c:showLegendKey val="0"/>
          <c:showVal val="0"/>
          <c:showCatName val="0"/>
          <c:showSerName val="0"/>
          <c:showPercent val="0"/>
          <c:showBubbleSize val="0"/>
        </c:dLbls>
        <c:axId val="889766496"/>
        <c:axId val="1502900480"/>
      </c:scatterChart>
      <c:valAx>
        <c:axId val="8897664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Temperature (Celcius)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900480"/>
        <c:crosses val="autoZero"/>
        <c:crossBetween val="midCat"/>
      </c:valAx>
      <c:valAx>
        <c:axId val="15029004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Conversion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97664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Equilibrium line</c:v>
          </c:tx>
          <c:spPr>
            <a:ln w="19050" cap="rnd">
              <a:solidFill>
                <a:schemeClr val="accent1"/>
              </a:solidFill>
              <a:round/>
            </a:ln>
            <a:effectLst/>
          </c:spPr>
          <c:marker>
            <c:symbol val="none"/>
          </c:marker>
          <c:xVal>
            <c:numRef>
              <c:f>'Advanced Reactors Tutorial 3'!$A$2:$A$22</c:f>
              <c:numCache>
                <c:formatCode>General</c:formatCode>
                <c:ptCount val="2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numCache>
            </c:numRef>
          </c:xVal>
          <c:yVal>
            <c:numRef>
              <c:f>'Advanced Reactors Tutorial 3'!$G$2:$G$22</c:f>
              <c:numCache>
                <c:formatCode>General</c:formatCode>
                <c:ptCount val="21"/>
                <c:pt idx="0">
                  <c:v>0.99979327159058651</c:v>
                </c:pt>
                <c:pt idx="1">
                  <c:v>0.99962488200229516</c:v>
                </c:pt>
                <c:pt idx="2">
                  <c:v>0.99933359116811793</c:v>
                </c:pt>
                <c:pt idx="3">
                  <c:v>0.99883972783087505</c:v>
                </c:pt>
                <c:pt idx="4">
                  <c:v>0.99801840805614828</c:v>
                </c:pt>
                <c:pt idx="5">
                  <c:v>0.99667774086378735</c:v>
                </c:pt>
                <c:pt idx="6">
                  <c:v>0.99452886993334078</c:v>
                </c:pt>
                <c:pt idx="7">
                  <c:v>0.9911464489149594</c:v>
                </c:pt>
                <c:pt idx="8">
                  <c:v>0.98591948678526919</c:v>
                </c:pt>
                <c:pt idx="9">
                  <c:v>0.97799579479223786</c:v>
                </c:pt>
                <c:pt idx="10">
                  <c:v>0.96622989025205219</c:v>
                </c:pt>
                <c:pt idx="11">
                  <c:v>0.94915554955755688</c:v>
                </c:pt>
                <c:pt idx="12">
                  <c:v>0.92502010718539363</c:v>
                </c:pt>
                <c:pt idx="13">
                  <c:v>0.89193288876275989</c:v>
                </c:pt>
                <c:pt idx="14">
                  <c:v>0.84817972912425155</c:v>
                </c:pt>
                <c:pt idx="15">
                  <c:v>0.79271365652318015</c:v>
                </c:pt>
                <c:pt idx="16">
                  <c:v>0.72572892958870239</c:v>
                </c:pt>
                <c:pt idx="17">
                  <c:v>0.64909004455137687</c:v>
                </c:pt>
                <c:pt idx="18">
                  <c:v>0.56632743490702486</c:v>
                </c:pt>
                <c:pt idx="19">
                  <c:v>0.48205282585663073</c:v>
                </c:pt>
                <c:pt idx="20">
                  <c:v>0.40096523851410115</c:v>
                </c:pt>
              </c:numCache>
            </c:numRef>
          </c:yVal>
          <c:smooth val="1"/>
          <c:extLst>
            <c:ext xmlns:c16="http://schemas.microsoft.com/office/drawing/2014/chart" uri="{C3380CC4-5D6E-409C-BE32-E72D297353CC}">
              <c16:uniqueId val="{00000000-DC4B-46C4-9916-F24F20474FA3}"/>
            </c:ext>
          </c:extLst>
        </c:ser>
        <c:ser>
          <c:idx val="1"/>
          <c:order val="1"/>
          <c:tx>
            <c:v>r=2</c:v>
          </c:tx>
          <c:spPr>
            <a:ln w="19050" cap="rnd">
              <a:solidFill>
                <a:schemeClr val="accent2"/>
              </a:solidFill>
              <a:round/>
            </a:ln>
            <a:effectLst/>
          </c:spPr>
          <c:marker>
            <c:symbol val="none"/>
          </c:marker>
          <c:xVal>
            <c:numRef>
              <c:f>'Advanced Reactors Tutorial 3'!$A$2:$A$22</c:f>
              <c:numCache>
                <c:formatCode>General</c:formatCode>
                <c:ptCount val="21"/>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numCache>
            </c:numRef>
          </c:xVal>
          <c:yVal>
            <c:numRef>
              <c:f>'Advanced Reactors Tutorial 3'!$I$2:$I$22</c:f>
              <c:numCache>
                <c:formatCode>0.00E+00</c:formatCode>
                <c:ptCount val="21"/>
              </c:numCache>
            </c:numRef>
          </c:yVal>
          <c:smooth val="1"/>
          <c:extLst>
            <c:ext xmlns:c16="http://schemas.microsoft.com/office/drawing/2014/chart" uri="{C3380CC4-5D6E-409C-BE32-E72D297353CC}">
              <c16:uniqueId val="{00000001-DC4B-46C4-9916-F24F20474FA3}"/>
            </c:ext>
          </c:extLst>
        </c:ser>
        <c:dLbls>
          <c:showLegendKey val="0"/>
          <c:showVal val="0"/>
          <c:showCatName val="0"/>
          <c:showSerName val="0"/>
          <c:showPercent val="0"/>
          <c:showBubbleSize val="0"/>
        </c:dLbls>
        <c:axId val="97677375"/>
        <c:axId val="97677855"/>
      </c:scatterChart>
      <c:valAx>
        <c:axId val="97677375"/>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Temperature celcius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77855"/>
        <c:crosses val="autoZero"/>
        <c:crossBetween val="midCat"/>
      </c:valAx>
      <c:valAx>
        <c:axId val="97677855"/>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Conversion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6773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2.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150880</xdr:colOff>
      <xdr:row>2</xdr:row>
      <xdr:rowOff>6946</xdr:rowOff>
    </xdr:from>
    <xdr:to>
      <xdr:col>7</xdr:col>
      <xdr:colOff>789460</xdr:colOff>
      <xdr:row>21</xdr:row>
      <xdr:rowOff>27459</xdr:rowOff>
    </xdr:to>
    <xdr:graphicFrame macro="">
      <xdr:nvGraphicFramePr>
        <xdr:cNvPr id="6" name="Chart 5">
          <a:extLst>
            <a:ext uri="{FF2B5EF4-FFF2-40B4-BE49-F238E27FC236}">
              <a16:creationId xmlns:a16="http://schemas.microsoft.com/office/drawing/2014/main" id="{923CAF6F-1455-EF8B-D471-90EB1BAC1C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450273</xdr:colOff>
      <xdr:row>22</xdr:row>
      <xdr:rowOff>127001</xdr:rowOff>
    </xdr:from>
    <xdr:to>
      <xdr:col>8</xdr:col>
      <xdr:colOff>1</xdr:colOff>
      <xdr:row>27</xdr:row>
      <xdr:rowOff>80818</xdr:rowOff>
    </xdr:to>
    <xdr:sp macro="" textlink="">
      <xdr:nvSpPr>
        <xdr:cNvPr id="7" name="TextBox 6">
          <a:extLst>
            <a:ext uri="{FF2B5EF4-FFF2-40B4-BE49-F238E27FC236}">
              <a16:creationId xmlns:a16="http://schemas.microsoft.com/office/drawing/2014/main" id="{BCC9840B-39EF-A7A2-0B1E-87DFC310FD0B}"/>
            </a:ext>
          </a:extLst>
        </xdr:cNvPr>
        <xdr:cNvSpPr txBox="1"/>
      </xdr:nvSpPr>
      <xdr:spPr>
        <a:xfrm>
          <a:off x="2944091" y="4699001"/>
          <a:ext cx="3706092" cy="9929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Note:</a:t>
          </a:r>
          <a:r>
            <a:rPr lang="en-GB" sz="1100" baseline="0"/>
            <a:t> Exponential decay, the more the mixing speed increases, the less of an effect it has on the droplet diameter, it starts to plateau at around 4x10^-5 meters by the looks of things. This is because it is inversely proportional to the square of the mixing speed.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355600</xdr:colOff>
      <xdr:row>1</xdr:row>
      <xdr:rowOff>6350</xdr:rowOff>
    </xdr:from>
    <xdr:to>
      <xdr:col>14</xdr:col>
      <xdr:colOff>12700</xdr:colOff>
      <xdr:row>28</xdr:row>
      <xdr:rowOff>0</xdr:rowOff>
    </xdr:to>
    <xdr:graphicFrame macro="">
      <xdr:nvGraphicFramePr>
        <xdr:cNvPr id="3" name="Chart 2">
          <a:extLst>
            <a:ext uri="{FF2B5EF4-FFF2-40B4-BE49-F238E27FC236}">
              <a16:creationId xmlns:a16="http://schemas.microsoft.com/office/drawing/2014/main" id="{B4F3A4FC-1A76-B0CC-35BD-03F72B225B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138316</xdr:colOff>
      <xdr:row>28</xdr:row>
      <xdr:rowOff>125743</xdr:rowOff>
    </xdr:from>
    <xdr:to>
      <xdr:col>7</xdr:col>
      <xdr:colOff>88019</xdr:colOff>
      <xdr:row>31</xdr:row>
      <xdr:rowOff>201187</xdr:rowOff>
    </xdr:to>
    <xdr:sp macro="" textlink="">
      <xdr:nvSpPr>
        <xdr:cNvPr id="4" name="TextBox 3">
          <a:extLst>
            <a:ext uri="{FF2B5EF4-FFF2-40B4-BE49-F238E27FC236}">
              <a16:creationId xmlns:a16="http://schemas.microsoft.com/office/drawing/2014/main" id="{7F1D5386-0F2B-305A-9B7E-011BBFCA60D2}"/>
            </a:ext>
          </a:extLst>
        </xdr:cNvPr>
        <xdr:cNvSpPr txBox="1"/>
      </xdr:nvSpPr>
      <xdr:spPr>
        <a:xfrm>
          <a:off x="138316" y="5759010"/>
          <a:ext cx="5997921" cy="67900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t>Note:</a:t>
          </a:r>
          <a:r>
            <a:rPr lang="en-GB" sz="1200" baseline="0"/>
            <a:t> This is the reference temperature we have used, this means that the exponential will be to the power zero, which will yield one as the multiplier of ke1, in turn it means that the ke2 value is equal to ke1 at this temperature (which equals 300 in this case).</a:t>
          </a:r>
          <a:endParaRPr lang="en-GB" sz="1200"/>
        </a:p>
      </xdr:txBody>
    </xdr:sp>
    <xdr:clientData/>
  </xdr:twoCellAnchor>
  <xdr:twoCellAnchor>
    <xdr:from>
      <xdr:col>0</xdr:col>
      <xdr:colOff>139700</xdr:colOff>
      <xdr:row>32</xdr:row>
      <xdr:rowOff>177800</xdr:rowOff>
    </xdr:from>
    <xdr:to>
      <xdr:col>9</xdr:col>
      <xdr:colOff>342900</xdr:colOff>
      <xdr:row>40</xdr:row>
      <xdr:rowOff>12700</xdr:rowOff>
    </xdr:to>
    <xdr:sp macro="" textlink="">
      <xdr:nvSpPr>
        <xdr:cNvPr id="5" name="TextBox 4">
          <a:extLst>
            <a:ext uri="{FF2B5EF4-FFF2-40B4-BE49-F238E27FC236}">
              <a16:creationId xmlns:a16="http://schemas.microsoft.com/office/drawing/2014/main" id="{8B521065-D016-D941-C0A6-043444B5FA4F}"/>
            </a:ext>
          </a:extLst>
        </xdr:cNvPr>
        <xdr:cNvSpPr txBox="1"/>
      </xdr:nvSpPr>
      <xdr:spPr>
        <a:xfrm>
          <a:off x="139700" y="6680200"/>
          <a:ext cx="7886700" cy="1460500"/>
        </a:xfrm>
        <a:prstGeom prst="rect">
          <a:avLst/>
        </a:prstGeom>
        <a:solidFill>
          <a:schemeClr val="accent1">
            <a:lumMod val="20000"/>
            <a:lumOff val="8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t>Part B of the question asks what restrictions you would need </a:t>
          </a:r>
          <a:r>
            <a:rPr lang="en-GB" sz="1200" baseline="0"/>
            <a:t>under adiabatic conditions if you wanted a conversion more than 75%. The answer to this would be that you would want to operate the reactor isothermally below 75 celcius. Looking at the highlighted line and point of this colour, we can see that at 75 celcius we are just over our 75% conversion, going to a higher temperature would mean a conversion less than 75% (given the 5 degree increments used here anyways). In an adiabatic system, the heat cannot escape, this means that for an exothermic reaction like this one (negative delta H), it will lead to a temperature rise, meaning lower conversion (which we don't want).  So operating isothermally below 75 celcius would give the control needed to keep a decent conversion.</a:t>
          </a:r>
          <a:endParaRPr lang="en-GB" sz="1200"/>
        </a:p>
      </xdr:txBody>
    </xdr:sp>
    <xdr:clientData/>
  </xdr:twoCellAnchor>
  <xdr:twoCellAnchor>
    <xdr:from>
      <xdr:col>14</xdr:col>
      <xdr:colOff>342900</xdr:colOff>
      <xdr:row>1</xdr:row>
      <xdr:rowOff>9525</xdr:rowOff>
    </xdr:from>
    <xdr:to>
      <xdr:col>26</xdr:col>
      <xdr:colOff>495300</xdr:colOff>
      <xdr:row>39</xdr:row>
      <xdr:rowOff>123825</xdr:rowOff>
    </xdr:to>
    <xdr:sp macro="" textlink="">
      <xdr:nvSpPr>
        <xdr:cNvPr id="7" name="TextBox 6">
          <a:extLst>
            <a:ext uri="{FF2B5EF4-FFF2-40B4-BE49-F238E27FC236}">
              <a16:creationId xmlns:a16="http://schemas.microsoft.com/office/drawing/2014/main" id="{C2CB4D2A-2D16-58C1-DFF9-6126C14B3341}"/>
            </a:ext>
          </a:extLst>
        </xdr:cNvPr>
        <xdr:cNvSpPr txBox="1"/>
      </xdr:nvSpPr>
      <xdr:spPr>
        <a:xfrm>
          <a:off x="12239625" y="209550"/>
          <a:ext cx="10210800" cy="7715250"/>
        </a:xfrm>
        <a:prstGeom prst="rect">
          <a:avLst/>
        </a:prstGeom>
        <a:solidFill>
          <a:schemeClr val="bg2">
            <a:lumMod val="9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Here is python code that will do the same thing as this sheet:</a:t>
          </a:r>
          <a:br>
            <a:rPr lang="en-GB" sz="1100"/>
          </a:br>
          <a:br>
            <a:rPr lang="en-GB" sz="1100"/>
          </a:br>
          <a:r>
            <a:rPr lang="en-GB" sz="1100" b="0">
              <a:solidFill>
                <a:schemeClr val="dk1"/>
              </a:solidFill>
              <a:effectLst/>
              <a:latin typeface="Courier New" panose="02070309020205020404" pitchFamily="49" charset="0"/>
              <a:ea typeface="+mn-ea"/>
              <a:cs typeface="Courier New" panose="02070309020205020404" pitchFamily="49" charset="0"/>
            </a:rPr>
            <a:t>import math</a:t>
          </a:r>
        </a:p>
        <a:p>
          <a:r>
            <a:rPr lang="en-GB" sz="1100" b="0">
              <a:solidFill>
                <a:schemeClr val="dk1"/>
              </a:solidFill>
              <a:effectLst/>
              <a:latin typeface="Courier New" panose="02070309020205020404" pitchFamily="49" charset="0"/>
              <a:ea typeface="+mn-ea"/>
              <a:cs typeface="Courier New" panose="02070309020205020404" pitchFamily="49" charset="0"/>
            </a:rPr>
            <a:t>import matplotlib.pyplot as plt</a:t>
          </a:r>
        </a:p>
        <a:p>
          <a:r>
            <a:rPr lang="en-GB" sz="1100" b="0">
              <a:solidFill>
                <a:schemeClr val="dk1"/>
              </a:solidFill>
              <a:effectLst/>
              <a:latin typeface="Courier New" panose="02070309020205020404" pitchFamily="49" charset="0"/>
              <a:ea typeface="+mn-ea"/>
              <a:cs typeface="Courier New" panose="02070309020205020404" pitchFamily="49" charset="0"/>
            </a:rPr>
            <a:t>import numpy as np </a:t>
          </a:r>
        </a:p>
        <a:p>
          <a:br>
            <a:rPr lang="en-GB" sz="1100" b="0">
              <a:solidFill>
                <a:schemeClr val="dk1"/>
              </a:solidFill>
              <a:effectLst/>
              <a:latin typeface="Courier New" panose="02070309020205020404" pitchFamily="49" charset="0"/>
              <a:ea typeface="+mn-ea"/>
              <a:cs typeface="Courier New" panose="02070309020205020404" pitchFamily="49" charset="0"/>
            </a:rPr>
          </a:br>
          <a:r>
            <a:rPr lang="en-GB" sz="1100" b="0">
              <a:solidFill>
                <a:schemeClr val="dk1"/>
              </a:solidFill>
              <a:effectLst/>
              <a:latin typeface="Courier New" panose="02070309020205020404" pitchFamily="49" charset="0"/>
              <a:ea typeface="+mn-ea"/>
              <a:cs typeface="Courier New" panose="02070309020205020404" pitchFamily="49" charset="0"/>
            </a:rPr>
            <a:t>conversion_target = 0.75</a:t>
          </a:r>
        </a:p>
        <a:p>
          <a:r>
            <a:rPr lang="en-GB" sz="1100" b="0">
              <a:solidFill>
                <a:schemeClr val="dk1"/>
              </a:solidFill>
              <a:effectLst/>
              <a:latin typeface="Courier New" panose="02070309020205020404" pitchFamily="49" charset="0"/>
              <a:ea typeface="+mn-ea"/>
              <a:cs typeface="Courier New" panose="02070309020205020404" pitchFamily="49" charset="0"/>
            </a:rPr>
            <a:t>step = 5 #</a:t>
          </a:r>
          <a:r>
            <a:rPr lang="en-GB" sz="1100" b="0" baseline="0">
              <a:solidFill>
                <a:schemeClr val="dk1"/>
              </a:solidFill>
              <a:effectLst/>
              <a:latin typeface="Courier New" panose="02070309020205020404" pitchFamily="49" charset="0"/>
              <a:ea typeface="+mn-ea"/>
              <a:cs typeface="Courier New" panose="02070309020205020404" pitchFamily="49" charset="0"/>
            </a:rPr>
            <a:t> the smaller this is the more accurate the final result will be </a:t>
          </a:r>
          <a:endParaRPr lang="en-GB" sz="1100" b="0">
            <a:solidFill>
              <a:schemeClr val="dk1"/>
            </a:solidFill>
            <a:effectLst/>
            <a:latin typeface="Courier New" panose="02070309020205020404" pitchFamily="49" charset="0"/>
            <a:ea typeface="+mn-ea"/>
            <a:cs typeface="Courier New" panose="02070309020205020404" pitchFamily="49" charset="0"/>
          </a:endParaRPr>
        </a:p>
        <a:p>
          <a:r>
            <a:rPr lang="en-GB" sz="1100" b="0">
              <a:solidFill>
                <a:schemeClr val="dk1"/>
              </a:solidFill>
              <a:effectLst/>
              <a:latin typeface="Courier New" panose="02070309020205020404" pitchFamily="49" charset="0"/>
              <a:ea typeface="+mn-ea"/>
              <a:cs typeface="Courier New" panose="02070309020205020404" pitchFamily="49" charset="0"/>
            </a:rPr>
            <a:t>t2_celcius = np.arange(0, 100 + step, step)  </a:t>
          </a:r>
        </a:p>
        <a:p>
          <a:r>
            <a:rPr lang="en-GB" sz="1100" b="0">
              <a:solidFill>
                <a:schemeClr val="dk1"/>
              </a:solidFill>
              <a:effectLst/>
              <a:latin typeface="Courier New" panose="02070309020205020404" pitchFamily="49" charset="0"/>
              <a:ea typeface="+mn-ea"/>
              <a:cs typeface="Courier New" panose="02070309020205020404" pitchFamily="49" charset="0"/>
            </a:rPr>
            <a:t>t2 = [temp + 273.15 for temp in t2_celcius]  </a:t>
          </a:r>
        </a:p>
        <a:p>
          <a:r>
            <a:rPr lang="en-GB" sz="1100" b="0">
              <a:solidFill>
                <a:schemeClr val="dk1"/>
              </a:solidFill>
              <a:effectLst/>
              <a:latin typeface="Courier New" panose="02070309020205020404" pitchFamily="49" charset="0"/>
              <a:ea typeface="+mn-ea"/>
              <a:cs typeface="Courier New" panose="02070309020205020404" pitchFamily="49" charset="0"/>
            </a:rPr>
            <a:t>t1 = 298.15</a:t>
          </a:r>
        </a:p>
        <a:p>
          <a:r>
            <a:rPr lang="en-GB" sz="1100" b="0">
              <a:solidFill>
                <a:schemeClr val="dk1"/>
              </a:solidFill>
              <a:effectLst/>
              <a:latin typeface="Courier New" panose="02070309020205020404" pitchFamily="49" charset="0"/>
              <a:ea typeface="+mn-ea"/>
              <a:cs typeface="Courier New" panose="02070309020205020404" pitchFamily="49" charset="0"/>
            </a:rPr>
            <a:t>r = 8.3145</a:t>
          </a:r>
        </a:p>
        <a:p>
          <a:r>
            <a:rPr lang="en-GB" sz="1100" b="0">
              <a:solidFill>
                <a:schemeClr val="dk1"/>
              </a:solidFill>
              <a:effectLst/>
              <a:latin typeface="Courier New" panose="02070309020205020404" pitchFamily="49" charset="0"/>
              <a:ea typeface="+mn-ea"/>
              <a:cs typeface="Courier New" panose="02070309020205020404" pitchFamily="49" charset="0"/>
            </a:rPr>
            <a:t>dh0 = -75300</a:t>
          </a:r>
        </a:p>
        <a:p>
          <a:br>
            <a:rPr lang="en-GB" sz="1100" b="0">
              <a:solidFill>
                <a:schemeClr val="dk1"/>
              </a:solidFill>
              <a:effectLst/>
              <a:latin typeface="Courier New" panose="02070309020205020404" pitchFamily="49" charset="0"/>
              <a:ea typeface="+mn-ea"/>
              <a:cs typeface="Courier New" panose="02070309020205020404" pitchFamily="49" charset="0"/>
            </a:rPr>
          </a:br>
          <a:r>
            <a:rPr lang="en-GB" sz="1100" b="1">
              <a:solidFill>
                <a:schemeClr val="dk1"/>
              </a:solidFill>
              <a:effectLst/>
              <a:latin typeface="Courier New" panose="02070309020205020404" pitchFamily="49" charset="0"/>
              <a:ea typeface="+mn-ea"/>
              <a:cs typeface="Courier New" panose="02070309020205020404" pitchFamily="49" charset="0"/>
            </a:rPr>
            <a:t>def</a:t>
          </a:r>
          <a:r>
            <a:rPr lang="en-GB" sz="1100" b="0">
              <a:solidFill>
                <a:schemeClr val="dk1"/>
              </a:solidFill>
              <a:effectLst/>
              <a:latin typeface="Courier New" panose="02070309020205020404" pitchFamily="49" charset="0"/>
              <a:ea typeface="+mn-ea"/>
              <a:cs typeface="Courier New" panose="02070309020205020404" pitchFamily="49" charset="0"/>
            </a:rPr>
            <a:t> get_ke2(t2_value):</a:t>
          </a:r>
        </a:p>
        <a:p>
          <a:r>
            <a:rPr lang="en-GB" sz="1100" b="0">
              <a:solidFill>
                <a:schemeClr val="dk1"/>
              </a:solidFill>
              <a:effectLst/>
              <a:latin typeface="Courier New" panose="02070309020205020404" pitchFamily="49" charset="0"/>
              <a:ea typeface="+mn-ea"/>
              <a:cs typeface="Courier New" panose="02070309020205020404" pitchFamily="49" charset="0"/>
            </a:rPr>
            <a:t>    ke2 = 300 * (math.exp((-dh0 / r) * ((t1 - t2_value) / (t1 * t2_value))))</a:t>
          </a:r>
        </a:p>
        <a:p>
          <a:r>
            <a:rPr lang="en-GB" sz="1100" b="0">
              <a:solidFill>
                <a:schemeClr val="dk1"/>
              </a:solidFill>
              <a:effectLst/>
              <a:latin typeface="Courier New" panose="02070309020205020404" pitchFamily="49" charset="0"/>
              <a:ea typeface="+mn-ea"/>
              <a:cs typeface="Courier New" panose="02070309020205020404" pitchFamily="49" charset="0"/>
            </a:rPr>
            <a:t>    return ke2</a:t>
          </a:r>
        </a:p>
        <a:p>
          <a:br>
            <a:rPr lang="en-GB" sz="1100" b="0">
              <a:solidFill>
                <a:schemeClr val="dk1"/>
              </a:solidFill>
              <a:effectLst/>
              <a:latin typeface="Courier New" panose="02070309020205020404" pitchFamily="49" charset="0"/>
              <a:ea typeface="+mn-ea"/>
              <a:cs typeface="Courier New" panose="02070309020205020404" pitchFamily="49" charset="0"/>
            </a:rPr>
          </a:br>
          <a:r>
            <a:rPr lang="en-GB" sz="1100" b="0">
              <a:solidFill>
                <a:schemeClr val="dk1"/>
              </a:solidFill>
              <a:effectLst/>
              <a:latin typeface="Courier New" panose="02070309020205020404" pitchFamily="49" charset="0"/>
              <a:ea typeface="+mn-ea"/>
              <a:cs typeface="Courier New" panose="02070309020205020404" pitchFamily="49" charset="0"/>
            </a:rPr>
            <a:t>ke2 = [get_ke2(temp) for temp in t2]</a:t>
          </a:r>
        </a:p>
        <a:p>
          <a:r>
            <a:rPr lang="en-GB" sz="1100" b="0">
              <a:solidFill>
                <a:schemeClr val="dk1"/>
              </a:solidFill>
              <a:effectLst/>
              <a:latin typeface="Courier New" panose="02070309020205020404" pitchFamily="49" charset="0"/>
              <a:ea typeface="+mn-ea"/>
              <a:cs typeface="Courier New" panose="02070309020205020404" pitchFamily="49" charset="0"/>
            </a:rPr>
            <a:t>xae = [x / (1 + x) for x in ke2]</a:t>
          </a:r>
        </a:p>
        <a:p>
          <a:br>
            <a:rPr lang="en-GB" sz="1100" b="0">
              <a:solidFill>
                <a:schemeClr val="dk1"/>
              </a:solidFill>
              <a:effectLst/>
              <a:latin typeface="Courier New" panose="02070309020205020404" pitchFamily="49" charset="0"/>
              <a:ea typeface="+mn-ea"/>
              <a:cs typeface="Courier New" panose="02070309020205020404" pitchFamily="49" charset="0"/>
            </a:rPr>
          </a:br>
          <a:r>
            <a:rPr lang="en-GB" sz="1100" b="0">
              <a:solidFill>
                <a:schemeClr val="dk1"/>
              </a:solidFill>
              <a:effectLst/>
              <a:latin typeface="Courier New" panose="02070309020205020404" pitchFamily="49" charset="0"/>
              <a:ea typeface="+mn-ea"/>
              <a:cs typeface="Courier New" panose="02070309020205020404" pitchFamily="49" charset="0"/>
            </a:rPr>
            <a:t>result = [t for t, x in zip(t2_celcius, xae) if x &gt; conversion_target] </a:t>
          </a:r>
        </a:p>
        <a:p>
          <a:br>
            <a:rPr lang="en-GB" sz="1100" b="0">
              <a:solidFill>
                <a:schemeClr val="dk1"/>
              </a:solidFill>
              <a:effectLst/>
              <a:latin typeface="Courier New" panose="02070309020205020404" pitchFamily="49" charset="0"/>
              <a:ea typeface="+mn-ea"/>
              <a:cs typeface="Courier New" panose="02070309020205020404" pitchFamily="49" charset="0"/>
            </a:rPr>
          </a:br>
          <a:r>
            <a:rPr lang="en-GB" sz="1100" b="0">
              <a:solidFill>
                <a:schemeClr val="dk1"/>
              </a:solidFill>
              <a:effectLst/>
              <a:latin typeface="Courier New" panose="02070309020205020404" pitchFamily="49" charset="0"/>
              <a:ea typeface="+mn-ea"/>
              <a:cs typeface="Courier New" panose="02070309020205020404" pitchFamily="49" charset="0"/>
            </a:rPr>
            <a:t>if result:</a:t>
          </a:r>
        </a:p>
        <a:p>
          <a:r>
            <a:rPr lang="en-GB" sz="1100" b="0">
              <a:solidFill>
                <a:schemeClr val="dk1"/>
              </a:solidFill>
              <a:effectLst/>
              <a:latin typeface="Courier New" panose="02070309020205020404" pitchFamily="49" charset="0"/>
              <a:ea typeface="+mn-ea"/>
              <a:cs typeface="Courier New" panose="02070309020205020404" pitchFamily="49" charset="0"/>
            </a:rPr>
            <a:t>    print(</a:t>
          </a:r>
          <a:r>
            <a:rPr lang="en-GB" sz="1100" b="1">
              <a:solidFill>
                <a:schemeClr val="dk1"/>
              </a:solidFill>
              <a:effectLst/>
              <a:latin typeface="Courier New" panose="02070309020205020404" pitchFamily="49" charset="0"/>
              <a:ea typeface="+mn-ea"/>
              <a:cs typeface="Courier New" panose="02070309020205020404" pitchFamily="49" charset="0"/>
            </a:rPr>
            <a:t>f</a:t>
          </a:r>
          <a:r>
            <a:rPr lang="en-GB" sz="1100" b="0">
              <a:solidFill>
                <a:schemeClr val="dk1"/>
              </a:solidFill>
              <a:effectLst/>
              <a:latin typeface="Courier New" panose="02070309020205020404" pitchFamily="49" charset="0"/>
              <a:ea typeface="+mn-ea"/>
              <a:cs typeface="Courier New" panose="02070309020205020404" pitchFamily="49" charset="0"/>
            </a:rPr>
            <a:t>'The maximum temperature that gives a conversion of {conversion_target * 100</a:t>
          </a:r>
          <a:r>
            <a:rPr lang="en-GB" sz="1100" b="1">
              <a:solidFill>
                <a:schemeClr val="dk1"/>
              </a:solidFill>
              <a:effectLst/>
              <a:latin typeface="Courier New" panose="02070309020205020404" pitchFamily="49" charset="0"/>
              <a:ea typeface="+mn-ea"/>
              <a:cs typeface="Courier New" panose="02070309020205020404" pitchFamily="49" charset="0"/>
            </a:rPr>
            <a:t>:.2f</a:t>
          </a:r>
          <a:r>
            <a:rPr lang="en-GB" sz="1100" b="0">
              <a:solidFill>
                <a:schemeClr val="dk1"/>
              </a:solidFill>
              <a:effectLst/>
              <a:latin typeface="Courier New" panose="02070309020205020404" pitchFamily="49" charset="0"/>
              <a:ea typeface="+mn-ea"/>
              <a:cs typeface="Courier New" panose="02070309020205020404" pitchFamily="49" charset="0"/>
            </a:rPr>
            <a:t>}% is {result[-1]</a:t>
          </a:r>
          <a:r>
            <a:rPr lang="en-GB" sz="1100" b="1">
              <a:solidFill>
                <a:schemeClr val="dk1"/>
              </a:solidFill>
              <a:effectLst/>
              <a:latin typeface="Courier New" panose="02070309020205020404" pitchFamily="49" charset="0"/>
              <a:ea typeface="+mn-ea"/>
              <a:cs typeface="Courier New" panose="02070309020205020404" pitchFamily="49" charset="0"/>
            </a:rPr>
            <a:t>:.2f</a:t>
          </a:r>
          <a:r>
            <a:rPr lang="en-GB" sz="1100" b="0">
              <a:solidFill>
                <a:schemeClr val="dk1"/>
              </a:solidFill>
              <a:effectLst/>
              <a:latin typeface="Courier New" panose="02070309020205020404" pitchFamily="49" charset="0"/>
              <a:ea typeface="+mn-ea"/>
              <a:cs typeface="Courier New" panose="02070309020205020404" pitchFamily="49" charset="0"/>
            </a:rPr>
            <a:t>} °C')</a:t>
          </a:r>
        </a:p>
        <a:p>
          <a:r>
            <a:rPr lang="en-GB" sz="1100" b="0">
              <a:solidFill>
                <a:schemeClr val="dk1"/>
              </a:solidFill>
              <a:effectLst/>
              <a:latin typeface="Courier New" panose="02070309020205020404" pitchFamily="49" charset="0"/>
              <a:ea typeface="+mn-ea"/>
              <a:cs typeface="Courier New" panose="02070309020205020404" pitchFamily="49" charset="0"/>
            </a:rPr>
            <a:t>else:</a:t>
          </a:r>
        </a:p>
        <a:p>
          <a:r>
            <a:rPr lang="en-GB" sz="1100" b="0">
              <a:solidFill>
                <a:schemeClr val="dk1"/>
              </a:solidFill>
              <a:effectLst/>
              <a:latin typeface="Courier New" panose="02070309020205020404" pitchFamily="49" charset="0"/>
              <a:ea typeface="+mn-ea"/>
              <a:cs typeface="Courier New" panose="02070309020205020404" pitchFamily="49" charset="0"/>
            </a:rPr>
            <a:t>    print(</a:t>
          </a:r>
          <a:r>
            <a:rPr lang="en-GB" sz="1100" b="1">
              <a:solidFill>
                <a:schemeClr val="dk1"/>
              </a:solidFill>
              <a:effectLst/>
              <a:latin typeface="Courier New" panose="02070309020205020404" pitchFamily="49" charset="0"/>
              <a:ea typeface="+mn-ea"/>
              <a:cs typeface="Courier New" panose="02070309020205020404" pitchFamily="49" charset="0"/>
            </a:rPr>
            <a:t>f</a:t>
          </a:r>
          <a:r>
            <a:rPr lang="en-GB" sz="1100" b="0">
              <a:solidFill>
                <a:schemeClr val="dk1"/>
              </a:solidFill>
              <a:effectLst/>
              <a:latin typeface="Courier New" panose="02070309020205020404" pitchFamily="49" charset="0"/>
              <a:ea typeface="+mn-ea"/>
              <a:cs typeface="Courier New" panose="02070309020205020404" pitchFamily="49" charset="0"/>
            </a:rPr>
            <a:t>'No temperature could be found which gave the target conversion of {conversion_target * 100</a:t>
          </a:r>
          <a:r>
            <a:rPr lang="en-GB" sz="1100" b="1">
              <a:solidFill>
                <a:schemeClr val="dk1"/>
              </a:solidFill>
              <a:effectLst/>
              <a:latin typeface="Courier New" panose="02070309020205020404" pitchFamily="49" charset="0"/>
              <a:ea typeface="+mn-ea"/>
              <a:cs typeface="Courier New" panose="02070309020205020404" pitchFamily="49" charset="0"/>
            </a:rPr>
            <a:t>:.2f</a:t>
          </a:r>
          <a:r>
            <a:rPr lang="en-GB" sz="1100" b="0">
              <a:solidFill>
                <a:schemeClr val="dk1"/>
              </a:solidFill>
              <a:effectLst/>
              <a:latin typeface="Courier New" panose="02070309020205020404" pitchFamily="49" charset="0"/>
              <a:ea typeface="+mn-ea"/>
              <a:cs typeface="Courier New" panose="02070309020205020404" pitchFamily="49" charset="0"/>
            </a:rPr>
            <a:t>}%')</a:t>
          </a:r>
        </a:p>
        <a:p>
          <a:br>
            <a:rPr lang="en-GB" sz="1100" b="0">
              <a:solidFill>
                <a:schemeClr val="dk1"/>
              </a:solidFill>
              <a:effectLst/>
              <a:latin typeface="Courier New" panose="02070309020205020404" pitchFamily="49" charset="0"/>
              <a:ea typeface="+mn-ea"/>
              <a:cs typeface="Courier New" panose="02070309020205020404" pitchFamily="49" charset="0"/>
            </a:rPr>
          </a:br>
          <a:r>
            <a:rPr lang="en-GB" sz="1100" b="0">
              <a:solidFill>
                <a:schemeClr val="dk1"/>
              </a:solidFill>
              <a:effectLst/>
              <a:latin typeface="Courier New" panose="02070309020205020404" pitchFamily="49" charset="0"/>
              <a:ea typeface="+mn-ea"/>
              <a:cs typeface="Courier New" panose="02070309020205020404" pitchFamily="49" charset="0"/>
            </a:rPr>
            <a:t>plt.figure(figsize=(6,6),facecolor='none')</a:t>
          </a:r>
        </a:p>
        <a:p>
          <a:r>
            <a:rPr lang="en-GB" sz="1100" b="0">
              <a:solidFill>
                <a:schemeClr val="dk1"/>
              </a:solidFill>
              <a:effectLst/>
              <a:latin typeface="Courier New" panose="02070309020205020404" pitchFamily="49" charset="0"/>
              <a:ea typeface="+mn-ea"/>
              <a:cs typeface="Courier New" panose="02070309020205020404" pitchFamily="49" charset="0"/>
            </a:rPr>
            <a:t>plt.plot(t2_celcius, xae, color='red')</a:t>
          </a:r>
        </a:p>
        <a:p>
          <a:r>
            <a:rPr lang="en-GB" sz="1100" b="0">
              <a:solidFill>
                <a:schemeClr val="dk1"/>
              </a:solidFill>
              <a:effectLst/>
              <a:latin typeface="Courier New" panose="02070309020205020404" pitchFamily="49" charset="0"/>
              <a:ea typeface="+mn-ea"/>
              <a:cs typeface="Courier New" panose="02070309020205020404" pitchFamily="49" charset="0"/>
            </a:rPr>
            <a:t>plt.xlabel(</a:t>
          </a:r>
          <a:r>
            <a:rPr lang="en-GB" sz="1100" b="1">
              <a:solidFill>
                <a:schemeClr val="dk1"/>
              </a:solidFill>
              <a:effectLst/>
              <a:latin typeface="Courier New" panose="02070309020205020404" pitchFamily="49" charset="0"/>
              <a:ea typeface="+mn-ea"/>
              <a:cs typeface="Courier New" panose="02070309020205020404" pitchFamily="49" charset="0"/>
            </a:rPr>
            <a:t>r</a:t>
          </a:r>
          <a:r>
            <a:rPr lang="en-GB" sz="1100" b="0">
              <a:solidFill>
                <a:schemeClr val="dk1"/>
              </a:solidFill>
              <a:effectLst/>
              <a:latin typeface="Courier New" panose="02070309020205020404" pitchFamily="49" charset="0"/>
              <a:ea typeface="+mn-ea"/>
              <a:cs typeface="Courier New" panose="02070309020205020404" pitchFamily="49" charset="0"/>
            </a:rPr>
            <a:t>'Temperature ($\degree$C)')</a:t>
          </a:r>
        </a:p>
        <a:p>
          <a:r>
            <a:rPr lang="en-GB" sz="1100" b="0">
              <a:solidFill>
                <a:schemeClr val="dk1"/>
              </a:solidFill>
              <a:effectLst/>
              <a:latin typeface="Courier New" panose="02070309020205020404" pitchFamily="49" charset="0"/>
              <a:ea typeface="+mn-ea"/>
              <a:cs typeface="Courier New" panose="02070309020205020404" pitchFamily="49" charset="0"/>
            </a:rPr>
            <a:t>plt.ylabel('Conversion')</a:t>
          </a:r>
        </a:p>
        <a:p>
          <a:r>
            <a:rPr lang="en-GB" sz="1100" b="0">
              <a:solidFill>
                <a:schemeClr val="dk1"/>
              </a:solidFill>
              <a:effectLst/>
              <a:latin typeface="Courier New" panose="02070309020205020404" pitchFamily="49" charset="0"/>
              <a:ea typeface="+mn-ea"/>
              <a:cs typeface="Courier New" panose="02070309020205020404" pitchFamily="49" charset="0"/>
            </a:rPr>
            <a:t>plt.minorticks_on()</a:t>
          </a:r>
        </a:p>
        <a:p>
          <a:r>
            <a:rPr lang="en-GB" sz="1100" b="0">
              <a:solidFill>
                <a:schemeClr val="dk1"/>
              </a:solidFill>
              <a:effectLst/>
              <a:latin typeface="Courier New" panose="02070309020205020404" pitchFamily="49" charset="0"/>
              <a:ea typeface="+mn-ea"/>
              <a:cs typeface="Courier New" panose="02070309020205020404" pitchFamily="49" charset="0"/>
            </a:rPr>
            <a:t>plt.grid(which='both')</a:t>
          </a:r>
        </a:p>
        <a:p>
          <a:r>
            <a:rPr lang="en-GB" sz="1100" b="0">
              <a:solidFill>
                <a:schemeClr val="dk1"/>
              </a:solidFill>
              <a:effectLst/>
              <a:latin typeface="Courier New" panose="02070309020205020404" pitchFamily="49" charset="0"/>
              <a:ea typeface="+mn-ea"/>
              <a:cs typeface="Courier New" panose="02070309020205020404" pitchFamily="49" charset="0"/>
            </a:rPr>
            <a:t>plt.gca().set_facecolor('none')</a:t>
          </a:r>
        </a:p>
        <a:p>
          <a:r>
            <a:rPr lang="en-GB" sz="1100" b="0">
              <a:solidFill>
                <a:schemeClr val="dk1"/>
              </a:solidFill>
              <a:effectLst/>
              <a:latin typeface="Courier New" panose="02070309020205020404" pitchFamily="49" charset="0"/>
              <a:ea typeface="+mn-ea"/>
              <a:cs typeface="Courier New" panose="02070309020205020404" pitchFamily="49" charset="0"/>
            </a:rPr>
            <a:t>plt.show()</a:t>
          </a:r>
        </a:p>
        <a:p>
          <a:br>
            <a:rPr lang="en-GB" sz="1100" b="0">
              <a:solidFill>
                <a:schemeClr val="dk1"/>
              </a:solidFill>
              <a:effectLst/>
              <a:latin typeface="+mn-lt"/>
              <a:ea typeface="+mn-ea"/>
              <a:cs typeface="+mn-cs"/>
            </a:rPr>
          </a:br>
          <a:endParaRPr lang="en-GB" sz="1100" b="0">
            <a:solidFill>
              <a:schemeClr val="dk1"/>
            </a:solidFill>
            <a:effectLst/>
            <a:latin typeface="+mn-lt"/>
            <a:ea typeface="+mn-ea"/>
            <a:cs typeface="+mn-cs"/>
          </a:endParaRPr>
        </a:p>
        <a:p>
          <a:endParaRPr lang="en-GB" sz="1100"/>
        </a:p>
      </xdr:txBody>
    </xdr:sp>
    <xdr:clientData/>
  </xdr:twoCellAnchor>
  <xdr:twoCellAnchor editAs="oneCell">
    <xdr:from>
      <xdr:col>0</xdr:col>
      <xdr:colOff>0</xdr:colOff>
      <xdr:row>45</xdr:row>
      <xdr:rowOff>0</xdr:rowOff>
    </xdr:from>
    <xdr:to>
      <xdr:col>6</xdr:col>
      <xdr:colOff>496082</xdr:colOff>
      <xdr:row>77</xdr:row>
      <xdr:rowOff>181894</xdr:rowOff>
    </xdr:to>
    <xdr:pic>
      <xdr:nvPicPr>
        <xdr:cNvPr id="2" name="Picture 1">
          <a:extLst>
            <a:ext uri="{FF2B5EF4-FFF2-40B4-BE49-F238E27FC236}">
              <a16:creationId xmlns:a16="http://schemas.microsoft.com/office/drawing/2014/main" id="{9FEF338F-D545-EC98-E6A4-232E9F712E87}"/>
            </a:ext>
          </a:extLst>
        </xdr:cNvPr>
        <xdr:cNvPicPr>
          <a:picLocks noChangeAspect="1"/>
        </xdr:cNvPicPr>
      </xdr:nvPicPr>
      <xdr:blipFill>
        <a:blip xmlns:r="http://schemas.openxmlformats.org/officeDocument/2006/relationships" r:embed="rId2"/>
        <a:stretch>
          <a:fillRect/>
        </a:stretch>
      </xdr:blipFill>
      <xdr:spPr>
        <a:xfrm>
          <a:off x="0" y="9001125"/>
          <a:ext cx="5601482" cy="6582694"/>
        </a:xfrm>
        <a:prstGeom prst="rect">
          <a:avLst/>
        </a:prstGeom>
      </xdr:spPr>
    </xdr:pic>
    <xdr:clientData/>
  </xdr:twoCellAnchor>
  <xdr:twoCellAnchor editAs="oneCell">
    <xdr:from>
      <xdr:col>0</xdr:col>
      <xdr:colOff>57150</xdr:colOff>
      <xdr:row>77</xdr:row>
      <xdr:rowOff>161925</xdr:rowOff>
    </xdr:from>
    <xdr:to>
      <xdr:col>6</xdr:col>
      <xdr:colOff>477021</xdr:colOff>
      <xdr:row>113</xdr:row>
      <xdr:rowOff>191509</xdr:rowOff>
    </xdr:to>
    <xdr:pic>
      <xdr:nvPicPr>
        <xdr:cNvPr id="6" name="Picture 5">
          <a:extLst>
            <a:ext uri="{FF2B5EF4-FFF2-40B4-BE49-F238E27FC236}">
              <a16:creationId xmlns:a16="http://schemas.microsoft.com/office/drawing/2014/main" id="{99E684F4-791C-C7FD-4E61-857E5E735795}"/>
            </a:ext>
          </a:extLst>
        </xdr:cNvPr>
        <xdr:cNvPicPr>
          <a:picLocks noChangeAspect="1"/>
        </xdr:cNvPicPr>
      </xdr:nvPicPr>
      <xdr:blipFill>
        <a:blip xmlns:r="http://schemas.openxmlformats.org/officeDocument/2006/relationships" r:embed="rId3"/>
        <a:stretch>
          <a:fillRect/>
        </a:stretch>
      </xdr:blipFill>
      <xdr:spPr>
        <a:xfrm>
          <a:off x="57150" y="15563850"/>
          <a:ext cx="5525271" cy="7230484"/>
        </a:xfrm>
        <a:prstGeom prst="rect">
          <a:avLst/>
        </a:prstGeom>
      </xdr:spPr>
    </xdr:pic>
    <xdr:clientData/>
  </xdr:twoCellAnchor>
  <xdr:twoCellAnchor editAs="oneCell">
    <xdr:from>
      <xdr:col>0</xdr:col>
      <xdr:colOff>66675</xdr:colOff>
      <xdr:row>113</xdr:row>
      <xdr:rowOff>171450</xdr:rowOff>
    </xdr:from>
    <xdr:to>
      <xdr:col>6</xdr:col>
      <xdr:colOff>457967</xdr:colOff>
      <xdr:row>149</xdr:row>
      <xdr:rowOff>172455</xdr:rowOff>
    </xdr:to>
    <xdr:pic>
      <xdr:nvPicPr>
        <xdr:cNvPr id="8" name="Picture 7">
          <a:extLst>
            <a:ext uri="{FF2B5EF4-FFF2-40B4-BE49-F238E27FC236}">
              <a16:creationId xmlns:a16="http://schemas.microsoft.com/office/drawing/2014/main" id="{3A89B45B-1638-CC64-47EB-7C3948296C21}"/>
            </a:ext>
          </a:extLst>
        </xdr:cNvPr>
        <xdr:cNvPicPr>
          <a:picLocks noChangeAspect="1"/>
        </xdr:cNvPicPr>
      </xdr:nvPicPr>
      <xdr:blipFill>
        <a:blip xmlns:r="http://schemas.openxmlformats.org/officeDocument/2006/relationships" r:embed="rId4"/>
        <a:stretch>
          <a:fillRect/>
        </a:stretch>
      </xdr:blipFill>
      <xdr:spPr>
        <a:xfrm>
          <a:off x="66675" y="22774275"/>
          <a:ext cx="5496692" cy="7201905"/>
        </a:xfrm>
        <a:prstGeom prst="rect">
          <a:avLst/>
        </a:prstGeom>
      </xdr:spPr>
    </xdr:pic>
    <xdr:clientData/>
  </xdr:twoCellAnchor>
  <xdr:twoCellAnchor editAs="oneCell">
    <xdr:from>
      <xdr:col>0</xdr:col>
      <xdr:colOff>76200</xdr:colOff>
      <xdr:row>149</xdr:row>
      <xdr:rowOff>171450</xdr:rowOff>
    </xdr:from>
    <xdr:to>
      <xdr:col>6</xdr:col>
      <xdr:colOff>467492</xdr:colOff>
      <xdr:row>185</xdr:row>
      <xdr:rowOff>181981</xdr:rowOff>
    </xdr:to>
    <xdr:pic>
      <xdr:nvPicPr>
        <xdr:cNvPr id="9" name="Picture 8">
          <a:extLst>
            <a:ext uri="{FF2B5EF4-FFF2-40B4-BE49-F238E27FC236}">
              <a16:creationId xmlns:a16="http://schemas.microsoft.com/office/drawing/2014/main" id="{E89CD411-4B84-C9BF-025B-00FF0AB3CE07}"/>
            </a:ext>
          </a:extLst>
        </xdr:cNvPr>
        <xdr:cNvPicPr>
          <a:picLocks noChangeAspect="1"/>
        </xdr:cNvPicPr>
      </xdr:nvPicPr>
      <xdr:blipFill>
        <a:blip xmlns:r="http://schemas.openxmlformats.org/officeDocument/2006/relationships" r:embed="rId5"/>
        <a:stretch>
          <a:fillRect/>
        </a:stretch>
      </xdr:blipFill>
      <xdr:spPr>
        <a:xfrm>
          <a:off x="76200" y="29975175"/>
          <a:ext cx="5496692" cy="7211431"/>
        </a:xfrm>
        <a:prstGeom prst="rect">
          <a:avLst/>
        </a:prstGeom>
      </xdr:spPr>
    </xdr:pic>
    <xdr:clientData/>
  </xdr:twoCellAnchor>
  <xdr:twoCellAnchor editAs="oneCell">
    <xdr:from>
      <xdr:col>0</xdr:col>
      <xdr:colOff>57150</xdr:colOff>
      <xdr:row>185</xdr:row>
      <xdr:rowOff>190500</xdr:rowOff>
    </xdr:from>
    <xdr:to>
      <xdr:col>6</xdr:col>
      <xdr:colOff>467495</xdr:colOff>
      <xdr:row>197</xdr:row>
      <xdr:rowOff>19361</xdr:rowOff>
    </xdr:to>
    <xdr:pic>
      <xdr:nvPicPr>
        <xdr:cNvPr id="10" name="Picture 9">
          <a:extLst>
            <a:ext uri="{FF2B5EF4-FFF2-40B4-BE49-F238E27FC236}">
              <a16:creationId xmlns:a16="http://schemas.microsoft.com/office/drawing/2014/main" id="{2C99D12D-B521-C2BD-2D18-8CC6F184E98C}"/>
            </a:ext>
          </a:extLst>
        </xdr:cNvPr>
        <xdr:cNvPicPr>
          <a:picLocks noChangeAspect="1"/>
        </xdr:cNvPicPr>
      </xdr:nvPicPr>
      <xdr:blipFill>
        <a:blip xmlns:r="http://schemas.openxmlformats.org/officeDocument/2006/relationships" r:embed="rId6"/>
        <a:stretch>
          <a:fillRect/>
        </a:stretch>
      </xdr:blipFill>
      <xdr:spPr>
        <a:xfrm>
          <a:off x="57150" y="37195125"/>
          <a:ext cx="5515745" cy="222916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23812</xdr:colOff>
      <xdr:row>0</xdr:row>
      <xdr:rowOff>190500</xdr:rowOff>
    </xdr:from>
    <xdr:to>
      <xdr:col>20</xdr:col>
      <xdr:colOff>352425</xdr:colOff>
      <xdr:row>23</xdr:row>
      <xdr:rowOff>9525</xdr:rowOff>
    </xdr:to>
    <xdr:graphicFrame macro="">
      <xdr:nvGraphicFramePr>
        <xdr:cNvPr id="2" name="Chart 1">
          <a:extLst>
            <a:ext uri="{FF2B5EF4-FFF2-40B4-BE49-F238E27FC236}">
              <a16:creationId xmlns:a16="http://schemas.microsoft.com/office/drawing/2014/main" id="{221A4DB6-74C0-A2D6-FF3B-608949133D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3">
    <wetp:webextensionref xmlns:r="http://schemas.openxmlformats.org/officeDocument/2006/relationships" r:id="rId2"/>
  </wetp:taskpane>
</wetp:taskpanes>
</file>

<file path=xl/webextensions/webextension1.xml><?xml version="1.0" encoding="utf-8"?>
<we:webextension xmlns:we="http://schemas.microsoft.com/office/webextensions/webextension/2010/11" id="{B0D35643-9C04-624E-9F83-AC951D6E5B00}">
  <we:reference id="1e10eb66-9ba2-46e3-84ee-57e2a49831f0" version="3.0.0.1" store="EXCatalog" storeType="EXCatalog"/>
  <we:alternateReferences>
    <we:reference id="WA104100404" version="3.0.0.1" store="en-GB" storeType="OMEX"/>
  </we:alternateReferences>
  <we:properties>
    <we:property name="GSNHF0NdUTIBQwMDFQoYLypREA==" value="&quot;aQUQVw==&quot;"/>
    <we:property name="GSNHF0NdUTIBQwMDFQoYLypREAE=" value="&quot;&quot;"/>
    <we:property name="GSNHF0NdUTIBQwMDFQoYLypREAI=" value="&quot;&quot;"/>
    <we:property name="GSNHF0NdUTIBQxgDHy4QIw==" value="&quot;fA==&quot;"/>
    <we:property name="GSNHF0NdUTIBQxoADQ==" value="&quot;C3cFUQ==&quot;"/>
    <we:property name="GSNHF0NdUTIBQyYNCxUcPxlADFw=" value="&quot;fWgEUg==&quot;"/>
    <we:property name="GSNHF0NdUTIBQyYNCxUcPxlADkM=" value="&quot;fQ==&quot;"/>
    <we:property name="GSNHF0NdUTIBQyYNCxUcPxlCAlw=" value="&quot;fWgB&quot;"/>
    <we:property name="GSNHF0NdUTIBQyYNCxUcPxlEEVU=" value="&quot;fWgEUwAFBGY=&quot;"/>
    <we:property name="GSNHF0NdUTIBQyYNCxUcPxlGAUY=" value="&quot;fA==&quot;"/>
    <we:property name="GSNHF0NdUTIBQyYNCxUcPxlGBkM=" value="&quot;eA==&quot;"/>
    <we:property name="GSNHF0NdUTIBQyYNCxUcPxlGBlwB" value="&quot;bXgJQw==&quot;"/>
    <we:property name="GSNHF0NdUTIBQyYNCxUcPxlGBlwE" value="&quot;bXgJQw==&quot;"/>
    <we:property name="GSNHF0NdUTIBQyYNCxUcPxlGBlwG" value="&quot;bXgJQw==&quot;"/>
    <we:property name="GSNHF0NdUTIBQyYNCxUcPxlGBlwH" value="&quot;bXgJQw==&quot;"/>
    <we:property name="GSNHF0NdUTIBQyYNCxUcPxlGC0MB" value="&quot;fQ==&quot;"/>
    <we:property name="GSNHF0NdUTIBQyYNCxUcPxlGC0ME" value="&quot;fQ==&quot;"/>
    <we:property name="GSNHF0NdUTIBQyYNCxUcPxlGC0MG" value="&quot;fQ==&quot;"/>
    <we:property name="GSNHF0NdUTIBQyYNCxUcPxlGC0MH" value="&quot;fQ==&quot;"/>
    <we:property name="GSNHF0NdUTIBQyYNCxUcPxlGD0g=" value="&quot;fQ==&quot;"/>
    <we:property name="GSNHF0NdUTIBQyYNCxUcPxlGEFQ=" value="&quot;fQ==&quot;"/>
    <we:property name="GSNHF0NdUTIBQyYNCxUcPxlHAFw=" value="&quot;fA==&quot;"/>
    <we:property name="GSNHF0NdUTIBQyYNCxUcPxlHDFM=" value="&quot;fQ==&quot;"/>
    <we:property name="GSNHF0NdUTIBQyYNCxUcPxlHEEo=" value="&quot;fHYE&quot;"/>
    <we:property name="GSNHF0NdUTIBQyYNCxUcPxlHF1E=" value="&quot;fQ==&quot;"/>
    <we:property name="GSNHF0NdUTIBQyYNCxUcPxlRDVc=" value="&quot;fQ==&quot;"/>
    <we:property name="GSNHF0NdUTIBQyYNCxUcPxlREEQ=" value="&quot;fA==&quot;"/>
    <we:property name="GSNHF0NdUTIBQyYNCxUcPxlSBlE=" value="&quot;fWgEUwAFBGY=&quot;"/>
    <we:property name="GSNHF0NdUTIBQyYNCxUcPxlTAkA=" value="&quot;fWgEUwAFBGY=&quot;"/>
    <we:property name="GSNHF0NdUTIBQyYNCxUcPxlVAFM=" value="&quot;fWgEUwE=&quot;"/>
    <we:property name="GSNHF0NdUTIBQyYNCxUcPxlVEUM=" value="&quot;fA==&quot;"/>
    <we:property name="GSNHF0NdUTIBQyYNCxUcPxlXFVc=" value="&quot;fWgEUwAE&quot;"/>
    <we:property name="GSNHF0NdUTIBQyYNCxUcPxlYC0MB" value="&quot;aQQQUgIPEBRRU2RQ&quot;"/>
    <we:property name="GSNHF0NdUTIBQyYNCxUcPxlYC0ME" value="&quot;aQQQUgIPEBVRU2VS&quot;"/>
    <we:property name="GSNHF0NdUTIBQyYNCxUcPxlYC0MG" value="&quot;aQQQUgIPEBRRU2RQ&quot;"/>
    <we:property name="GSNHF0NdUTIBQyYNCxUcPxlYC0MH" value="&quot;aQQQUgIPEBVRU2RQ&quot;"/>
    <we:property name="GSNHF0NdUTIBQyYNCxUcPxlYE0A=" value="&quot;fQ==&quot;"/>
    <we:property name="GSNHF0NdUTIBQyYNCxUcPxlYE0Q=" value="&quot;fQ==&quot;"/>
    <we:property name="GSNHF0NdUTIBQyYNCxUcPxlZBkQ=" value="&quot;fw==&quot;"/>
    <we:property name="GSNHF0NdUTIBQyYNCxUcPxlZDVk=" value="&quot;fnY=&quot;"/>
    <we:property name="GSNHF0NdUTIBQyYNCxUcPxlZEFw=" value="&quot;fQ==&quot;"/>
    <we:property name="GSNHF0NdUTIBQyYNCxUcPxlZEUQ=" value="&quot;fWgEVAU=&quot;"/>
    <we:property name="GSNHF0NdUTIBQyYNCxUcPxlaBlc=" value="&quot;fA==&quot;"/>
    <we:property name="GSNHF0NdUTIBQyYNCxUcPxlaF0I=" value="&quot;fw==&quot;"/>
    <we:property name="GSNHF0NdUTIBQyYNCxUcPxlaFEQ=" value="&quot;fA==&quot;"/>
    <we:property name="GSNHF0NdUTIBQyYNCxUcPxlaFl0=" value="&quot;fA==&quot;"/>
    <we:property name="GSNHF0NdUTIBQyYNCxUcPxldE0M=" value="&quot;fWgNWg==&quot;"/>
    <we:property name="GSNHF0NdUTIBQyYNCxUcPxldE1Q=" value="&quot;fg==&quot;"/>
    <we:property name="GSNHF0NdUTIBQyYNCxUcPxldE1k=" value="&quot;fA==&quot;"/>
    <we:property name="GSNHF0NdUTIBQyYNCxUcPxlfCkY=" value="&quot;&quot;"/>
    <we:property name="HSdGF1lWWDJVNjABDw0WISlTGhBhQSMaEDwDC0NLbAlWCQ==" value="&quot;aQd8RwUEEBY/RmZQ&quot;"/>
    <we:property name="HSdGF1lWWDJVNjABDw0WISlTGhBhQSMaEDwDC0NLbAtVG31cWg==" value="&quot;fg==&quot;"/>
    <we:property name="HSdGF1lWWDJVNjABDw0WISlTGhBhQSMaEDwDC0NLbBBVEVlUVjsQEQ==" value="&quot;aQdyRwIDDnM0JHFQXw==&quot;"/>
    <we:property name="HSdGF1lWWDJVNjABDw0WISlTGhBhQSMaEDwDC0NLbBBVEVlUVjsQEWQ=" value="&quot;&quot;"/>
    <we:property name="HSdGF1lWWDJVNjABDw0WISlTGhBhQSMaEDwDC0NLbDVbD0ZQRggBDTk=" value="&quot;fWgEUg==&quot;"/>
    <we:property name="HSdGF1lWWDJVNjABDw0WISlTGhBhQSMaEDwDC0NLbDVbD0ZQRggDAzk=" value="&quot;fHZxTgY=&quot;"/>
    <we:property name="HSdGF1lWWDJVNjABDw0WISlTGhBhQSMaEDwDC0NLbDVbD0ZQRggFEDA=" value="&quot;fWgEUwAFBGY=&quot;"/>
    <we:property name="HSdGF1lWWDJVNjABDw0WISlTGhBhQSMaEDwDC0NLbDVbD0ZQRggGATk=" value="&quot;fA==&quot;"/>
    <we:property name="HSdGF1lWWDJVNjABDw0WISlTGhBhQSMaEDwDC0NLbDVbD0ZQRggGDTY=" value="&quot;fQ==&quot;"/>
    <we:property name="HSdGF1lWWDJVNjABDw0WISlTGhBhQSMaEDwDC0NLbDVbD0ZQRggGES8=" value="&quot;fHYE&quot;"/>
    <we:property name="HSdGF1lWWDJVNjABDw0WISlTGhBhQSMaEDwDC0NLbDVbD0ZQRggGFjQ=" value="&quot;fQ==&quot;"/>
    <we:property name="HSdGF1lWWDJVNjABDw0WISlTGhBhQSMaEDwDC0NLbDVbD0ZQRggHACM=" value="&quot;fA==&quot;"/>
    <we:property name="HSdGF1lWWDJVNjABDw0WISlTGhBhQSMaEDwDC0NLbDVbD0ZQRggHByY=" value="&quot;eA==&quot;"/>
    <we:property name="HSdGF1lWWDJVNjABDw0WISlTGhBhQSMaEDwDC0NLbDVbD0ZQRggHBzlQ" value="&quot;bXsU&quot;"/>
    <we:property name="HSdGF1lWWDJVNjABDw0WISlTGhBhQSMaEDwDC0NLbDVbD0ZQRggHBzlR" value="&quot;bXsU&quot;"/>
    <we:property name="HSdGF1lWWDJVNjABDw0WISlTGhBhQSMaEDwDC0NLbDVbD0ZQRggHBzlT" value="&quot;bXsUAlxZUD4TBDAQAg0N&quot;"/>
    <we:property name="HSdGF1lWWDJVNjABDw0WISlTGhBhQSMaEDwDC0NLbDVbD0ZQRggHBzlU" value="&quot;bXsU&quot;"/>
    <we:property name="HSdGF1lWWDJVNjABDw0WISlTGhBhQSMaEDwDC0NLbDVbD0ZQRggHBzlW" value="&quot;bXsU&quot;"/>
    <we:property name="HSdGF1lWWDJVNjABDw0WISlTGhBhQSMaEDwDC0NLbDVbD0ZQRggHBzlX" value="&quot;bXsU&quot;"/>
    <we:property name="HSdGF1lWWDJVNjABDw0WISlTGhBhQSMaEDwDC0NLbDVbD0ZQRggHCiZQ" value="&quot;aQd9RwIC&quot;"/>
    <we:property name="HSdGF1lWWDJVNjABDw0WISlTGhBhQSMaEDwDC0NLbDVbD0ZQRggHCiZR" value="&quot;aQd9RwIN&quot;"/>
    <we:property name="HSdGF1lWWDJVNjABDw0WISlTGhBhQSMaEDwDC0NLbDVbD0ZQRggHCiZT" value="&quot;&quot;"/>
    <we:property name="HSdGF1lWWDJVNjABDw0WISlTGhBhQSMaEDwDC0NLbDVbD0ZQRggHCiZU" value="&quot;aQdyRwQH&quot;"/>
    <we:property name="HSdGF1lWWDJVNjABDw0WISlTGhBhQSMaEDwDC0NLbDVbD0ZQRggHCiZW" value="&quot;aQdyRwQF&quot;"/>
    <we:property name="HSdGF1lWWDJVNjABDw0WISlTGhBhQSMaEDwDC0NLbDVbD0ZQRggHCiZX" value="&quot;aQdyRwQE&quot;"/>
    <we:property name="HSdGF1lWWDJVNjABDw0WISlTGhBhQSMaEDwDC0NLbDVbD0ZQRggHDi0=" value="&quot;fQ==&quot;"/>
    <we:property name="HSdGF1lWWDJVNjABDw0WISlTGhBhQSMaEDwDC0NLbDVbD0ZQRggHETE=" value="&quot;fQ==&quot;"/>
    <we:property name="HSdGF1lWWDJVNjABDw0WISlTGhBhQSMaEDwDC0NLbDVbD0ZQRggQDDI=" value="&quot;fQ==&quot;"/>
    <we:property name="HSdGF1lWWDJVNjABDw0WISlTGhBhQSMaEDwDC0NLbDVbD0ZQRggSAyU=" value="&quot;fWgEUwAFBGY=&quot;"/>
    <we:property name="HSdGF1lWWDJVNjABDw0WISlTGhBhQSMaEDwDC0NLbDVbD0ZQRggTBzQ=" value="&quot;fWgEUwAFBGY=&quot;"/>
    <we:property name="HSdGF1lWWDJVNjABDw0WISlTGhBhQSMaEDwDC0NLbDVbD0ZQRggUATY=" value="&quot;fWgEUwE=&quot;"/>
    <we:property name="HSdGF1lWWDJVNjABDw0WISlTGhBhQSMaEDwDC0NLbDVbD0ZQRggUECY=" value="&quot;fA==&quot;"/>
    <we:property name="HSdGF1lWWDJVNjABDw0WISlTGhBhQSMaEDwDC0NLbDVbD0ZQRggWFDI=" value="&quot;fWgEUwAE&quot;"/>
    <we:property name="HSdGF1lWWDJVNjABDw0WISlTGhBhQSMaEDwDC0NLbDVbD0ZQRggYByE=" value="&quot;fA==&quot;"/>
    <we:property name="HSdGF1lWWDJVNjABDw0WISlTGhBhQSMaEDwDC0NLbDVbD0ZQRggYDDw=" value="&quot;fnY=&quot;"/>
    <we:property name="HSdGF1lWWDJVNjABDw0WISlTGhBhQSMaEDwDC0NLbDVbD0ZQRggYECE=" value="&quot;fWgEVAU=&quot;"/>
    <we:property name="HSdGF1lWWDJVNjABDw0WISlTGhBhQSMaEDwDC0NLbDVbD0ZQRggYETk=" value="&quot;fQ==&quot;"/>
    <we:property name="HSdGF1lWWDJVNjABDw0WISlTGhBhQSMaEDwDC0NLbDVbD0ZQRggZCiZQ" value="&quot;aQd9RwQE&quot;"/>
    <we:property name="HSdGF1lWWDJVNjABDw0WISlTGhBhQSMaEDwDC0NLbDVbD0ZQRggZCiZR" value="&quot;aQd9RwQH&quot;"/>
    <we:property name="HSdGF1lWWDJVNjABDw0WISlTGhBhQSMaEDwDC0NLbDVbD0ZQRggZCiZT" value="&quot;aQdyRwUHDnM0JHFXUw==&quot;"/>
    <we:property name="HSdGF1lWWDJVNjABDw0WISlTGhBhQSMaEDwDC0NLbDVbD0ZQRggZCiZU" value="&quot;aQd+RwQH&quot;"/>
    <we:property name="HSdGF1lWWDJVNjABDw0WISlTGhBhQSMaEDwDC0NLbDVbD0ZQRggZCiZW" value="&quot;aQd+RwQF&quot;"/>
    <we:property name="HSdGF1lWWDJVNjABDw0WISlTGhBhQSMaEDwDC0NLbDVbD0ZQRggZCiZX" value="&quot;aQd+RwQE&quot;"/>
    <we:property name="HSdGF1lWWDJVNjABDw0WISlTGhBhQSMaEDwDC0NLbDVbD0ZQRggZEiE=" value="&quot;fQ==&quot;"/>
    <we:property name="HSdGF1lWWDJVNjABDw0WISlTGhBhQSMaEDwDC0NLbDVbD0ZQRggZEiU=" value="&quot;fQ==&quot;"/>
    <we:property name="HSdGF1lWWDJVNjABDw0WISlTGhBhQSMaEDwDC0NLbDVbD0ZQRggbBzI=" value="&quot;fA==&quot;"/>
    <we:property name="HSdGF1lWWDJVNjABDw0WISlTGhBhQSMaEDwDC0NLbDVbD0ZQRggbFic=" value="&quot;fw==&quot;"/>
    <we:property name="HSdGF1lWWDJVNjABDw0WISlTGhBhQSMaEDwDC0NLbDVbD0ZQRggbFzg=" value="&quot;fQ==&quot;"/>
    <we:property name="HSdGF1lWWDJVNjABDw0WISlTGhBhQSMaEDwDC0NLbDVbD0ZQRggcEiY=" value="&quot;fWgNWg==&quot;"/>
    <we:property name="HSdGF1lWWDJVNjABDw0WISlTGhBhQSMaEDwDC0NLbDVbD0ZQRggcEjE=" value="&quot;fg==&quot;"/>
    <we:property name="HSdGF1lWWDJVNjABDw0WISlTGhBhQSMaEDwDC0NLbDVbD0ZQRggcEjw=" value="&quot;fA==&quot;"/>
    <we:property name="UniqueID" value="&quot;2024921727860809703&quot;"/>
    <we:property name="HSdGF1lWWDJVNjABDw0WISlTGhBhQSMaEDwDC0NLbBBVEVlUVjsQEWU=" value="&quot;&quot;"/>
  </we:properties>
  <we:bindings>
    <we:binding id="1Var0" type="matrix" appref="{4EAAE3DA-800E-4712-B073-B11A720AA2AB}"/>
    <we:binding id="Varrconst1" type="matrix" appref="{7C152464-BFBC-4457-A58E-B785EAF5976B}"/>
    <we:binding id="Varrconst2" type="matrix" appref="{D250E2D2-50D5-41F7-8141-7C0507F6DF83}"/>
    <we:binding id="Var$C$5" type="matrix" appref="{16DDEE02-6F15-428A-904A-7D8903B1145F}"/>
    <we:binding id="Var$C$4" type="matrix" appref="{AA61BC6B-9CAA-4A7E-B3A4-0BD1C3E7D585}"/>
    <we:binding id="Var$AF$31" type="matrix" appref="{17F29F74-5542-4016-B1A3-0AC93FCA91CB}"/>
    <we:binding id="Var$AH$38:$AH$40" type="matrix" appref="{15D36297-5F66-46BB-957A-4DFCD95B1ED4}"/>
    <we:binding id="Var$AF$52:$AF$54" type="matrix" appref="{FBAA8D7F-0D25-4903-B9CF-3437DB52AB9F}"/>
    <we:binding id="refEdit" type="matrix" appref="{A2B73B32-5512-4A10-8DA9-C835C071B770}"/>
    <we:binding id="Worker" type="matrix" appref="{ADA3E270-F5EA-4ABA-AB80-D2CB7373F9FE}"/>
    <we:binding id="Var0" type="matrix" appref="{5271714A-14D1-4059-920B-72581C4B17D9}"/>
    <we:binding id="Var$AF$26:$AF$28" type="matrix" appref="{FC4BC955-C7F4-425A-BAA8-056A1FD16972}"/>
  </we:bindings>
  <we:snapshot xmlns:r="http://schemas.openxmlformats.org/officeDocument/2006/relationships"/>
</we:webextension>
</file>

<file path=xl/webextensions/webextension2.xml><?xml version="1.0" encoding="utf-8"?>
<we:webextension xmlns:we="http://schemas.microsoft.com/office/webextensions/webextension/2010/11" id="{6B5EBB62-B4A9-43B6-A9FE-4CB4F1A1882E}">
  <we:reference id="73d20708-c99a-400a-95ae-5f6b394f4054" version="2.0.0.0" store="EXCatalog" storeType="EXCatalog"/>
  <we:alternateReferences>
    <we:reference id="WA104379190" version="2.0.0.0" store="en-GB" storeType="OMEX"/>
  </we:alternateReferences>
  <we:properties/>
  <we:bindings>
    <we:binding id="RangeSelect" type="matrix" appref="{5E181151-B60D-41C6-AD5D-A96BB1CC029C}"/>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1DF8D-9D95-2943-A880-B2C8C1701B38}">
  <sheetPr codeName="Sheet1"/>
  <dimension ref="A1:A7"/>
  <sheetViews>
    <sheetView workbookViewId="0">
      <selection activeCell="A6" sqref="A6"/>
    </sheetView>
  </sheetViews>
  <sheetFormatPr baseColWidth="10" defaultColWidth="10.83203125" defaultRowHeight="24" x14ac:dyDescent="0.2"/>
  <cols>
    <col min="1" max="1" width="53.83203125" style="8" bestFit="1" customWidth="1"/>
    <col min="2" max="16383" width="10.83203125" style="7"/>
    <col min="16384" max="16384" width="25.1640625" style="7" customWidth="1"/>
  </cols>
  <sheetData>
    <row r="1" spans="1:1" ht="22" x14ac:dyDescent="0.3">
      <c r="A1" s="13" t="s">
        <v>15</v>
      </c>
    </row>
    <row r="3" spans="1:1" ht="19" x14ac:dyDescent="0.2">
      <c r="A3" s="14" t="s">
        <v>13</v>
      </c>
    </row>
    <row r="4" spans="1:1" ht="19" x14ac:dyDescent="0.2">
      <c r="A4" s="14" t="s">
        <v>14</v>
      </c>
    </row>
    <row r="5" spans="1:1" ht="19" x14ac:dyDescent="0.2">
      <c r="A5" s="14" t="s">
        <v>116</v>
      </c>
    </row>
    <row r="6" spans="1:1" ht="19" x14ac:dyDescent="0.2">
      <c r="A6" s="14" t="s">
        <v>20</v>
      </c>
    </row>
    <row r="7" spans="1:1" ht="19" x14ac:dyDescent="0.2">
      <c r="A7" s="14" t="s">
        <v>44</v>
      </c>
    </row>
  </sheetData>
  <hyperlinks>
    <hyperlink ref="A3" location="'Particle Technology Tutorial 1'!A1" display="Particle Technology Tutorial 1" xr:uid="{EC2CA131-22BC-3D47-8325-51A93FE8C05A}"/>
    <hyperlink ref="A4" location="'Advanced Reactors Tutorial 2'!A1" display="Advanced Reactors Tutorial 2" xr:uid="{BB47F7E9-0B12-0D49-8CC5-335A6259D7B7}"/>
    <hyperlink ref="A5" location="'Advanced Reactors Tutorial 3'!A1" display="Advanced Reactors Tutorial 3" xr:uid="{852CCCC1-AAC3-FD43-90DC-7272BE461D6D}"/>
    <hyperlink ref="A6" location="'Advanced Separations Tutorial 2'!A1" display="Advanced Separations Tutorial 2" xr:uid="{1A29C71A-5FA2-B04B-AB70-508705BCCC40}"/>
    <hyperlink ref="A7" location="'Particle Technology Tutorial 2'!A1" display="Particle Technology Tutorial 2" xr:uid="{1D63B827-80D8-1F40-BF3D-04BCD41FFC06}"/>
  </hyperlinks>
  <pageMargins left="0.7" right="0.7" top="0.75" bottom="0.75" header="0.3" footer="0.3"/>
  <pageSetup paperSize="9" orientation="portrait" r:id="rId1"/>
  <extLst>
    <ext xmlns:x15="http://schemas.microsoft.com/office/spreadsheetml/2010/11/main" uri="{F7C9EE02-42E1-4005-9D12-6889AFFD525C}">
      <x15:webExtensions xmlns:xm="http://schemas.microsoft.com/office/excel/2006/main">
        <x15:webExtension appRef="{5E181151-B60D-41C6-AD5D-A96BB1CC029C}">
          <xm:f>#REF!</xm:f>
        </x15:webExtension>
        <x15:webExtension appRef="{4EAAE3DA-800E-4712-B073-B11A720AA2AB}">
          <xm:f>#REF!</xm:f>
        </x15:webExtension>
        <x15:webExtension appRef="{7C152464-BFBC-4457-A58E-B785EAF5976B}">
          <xm:f>#REF!</xm:f>
        </x15:webExtension>
        <x15:webExtension appRef="{D250E2D2-50D5-41F7-8141-7C0507F6DF83}">
          <xm:f>#REF!</xm:f>
        </x15:webExtension>
        <x15:webExtension appRef="{16DDEE02-6F15-428A-904A-7D8903B1145F}">
          <xm:f>#REF!</xm:f>
        </x15:webExtension>
        <x15:webExtension appRef="{AA61BC6B-9CAA-4A7E-B3A4-0BD1C3E7D585}">
          <xm:f>#REF!</xm:f>
        </x15:webExtension>
      </x15:webExtens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1456C-C54F-144B-BB74-58C7F177F357}">
  <sheetPr codeName="Sheet2"/>
  <dimension ref="A1:B402"/>
  <sheetViews>
    <sheetView zoomScale="110" workbookViewId="0">
      <selection activeCell="G42" sqref="G42"/>
    </sheetView>
  </sheetViews>
  <sheetFormatPr baseColWidth="10" defaultColWidth="11" defaultRowHeight="16" x14ac:dyDescent="0.2"/>
  <sheetData>
    <row r="1" spans="1:2" x14ac:dyDescent="0.2">
      <c r="A1" t="s">
        <v>0</v>
      </c>
      <c r="B1" t="s">
        <v>1</v>
      </c>
    </row>
    <row r="2" spans="1:2" x14ac:dyDescent="0.2">
      <c r="A2">
        <v>100</v>
      </c>
      <c r="B2">
        <f>10/A2^2</f>
        <v>1E-3</v>
      </c>
    </row>
    <row r="3" spans="1:2" x14ac:dyDescent="0.2">
      <c r="A3">
        <v>101</v>
      </c>
      <c r="B3">
        <f>10/A3^2</f>
        <v>9.802960494069209E-4</v>
      </c>
    </row>
    <row r="4" spans="1:2" x14ac:dyDescent="0.2">
      <c r="A4">
        <v>102</v>
      </c>
      <c r="B4">
        <f t="shared" ref="B4:B66" si="0">10/A4^2</f>
        <v>9.6116878123798542E-4</v>
      </c>
    </row>
    <row r="5" spans="1:2" x14ac:dyDescent="0.2">
      <c r="A5">
        <v>103</v>
      </c>
      <c r="B5">
        <f t="shared" si="0"/>
        <v>9.4259590913375435E-4</v>
      </c>
    </row>
    <row r="6" spans="1:2" x14ac:dyDescent="0.2">
      <c r="A6">
        <v>104</v>
      </c>
      <c r="B6">
        <f t="shared" si="0"/>
        <v>9.2455621301775143E-4</v>
      </c>
    </row>
    <row r="7" spans="1:2" x14ac:dyDescent="0.2">
      <c r="A7">
        <v>105</v>
      </c>
      <c r="B7">
        <f t="shared" si="0"/>
        <v>9.0702947845804993E-4</v>
      </c>
    </row>
    <row r="8" spans="1:2" x14ac:dyDescent="0.2">
      <c r="A8">
        <v>106</v>
      </c>
      <c r="B8">
        <f t="shared" si="0"/>
        <v>8.8999644001423999E-4</v>
      </c>
    </row>
    <row r="9" spans="1:2" x14ac:dyDescent="0.2">
      <c r="A9">
        <v>107</v>
      </c>
      <c r="B9">
        <f t="shared" si="0"/>
        <v>8.7343872827321163E-4</v>
      </c>
    </row>
    <row r="10" spans="1:2" x14ac:dyDescent="0.2">
      <c r="A10">
        <v>108</v>
      </c>
      <c r="B10">
        <f t="shared" si="0"/>
        <v>8.5733882030178323E-4</v>
      </c>
    </row>
    <row r="11" spans="1:2" x14ac:dyDescent="0.2">
      <c r="A11">
        <v>109</v>
      </c>
      <c r="B11">
        <f t="shared" si="0"/>
        <v>8.4167999326656005E-4</v>
      </c>
    </row>
    <row r="12" spans="1:2" x14ac:dyDescent="0.2">
      <c r="A12">
        <v>110</v>
      </c>
      <c r="B12">
        <f t="shared" si="0"/>
        <v>8.2644628099173552E-4</v>
      </c>
    </row>
    <row r="13" spans="1:2" x14ac:dyDescent="0.2">
      <c r="A13">
        <v>111</v>
      </c>
      <c r="B13">
        <f t="shared" si="0"/>
        <v>8.1162243324405491E-4</v>
      </c>
    </row>
    <row r="14" spans="1:2" x14ac:dyDescent="0.2">
      <c r="A14">
        <v>112</v>
      </c>
      <c r="B14">
        <f t="shared" si="0"/>
        <v>7.9719387755102043E-4</v>
      </c>
    </row>
    <row r="15" spans="1:2" x14ac:dyDescent="0.2">
      <c r="A15">
        <v>113</v>
      </c>
      <c r="B15">
        <f t="shared" si="0"/>
        <v>7.8314668337379589E-4</v>
      </c>
    </row>
    <row r="16" spans="1:2" x14ac:dyDescent="0.2">
      <c r="A16">
        <v>114</v>
      </c>
      <c r="B16">
        <f t="shared" si="0"/>
        <v>7.6946752847029858E-4</v>
      </c>
    </row>
    <row r="17" spans="1:2" x14ac:dyDescent="0.2">
      <c r="A17">
        <v>115</v>
      </c>
      <c r="B17">
        <f t="shared" si="0"/>
        <v>7.5614366729678643E-4</v>
      </c>
    </row>
    <row r="18" spans="1:2" x14ac:dyDescent="0.2">
      <c r="A18">
        <v>116</v>
      </c>
      <c r="B18">
        <f t="shared" si="0"/>
        <v>7.4316290130796675E-4</v>
      </c>
    </row>
    <row r="19" spans="1:2" x14ac:dyDescent="0.2">
      <c r="A19">
        <v>117</v>
      </c>
      <c r="B19">
        <f t="shared" si="0"/>
        <v>7.3051355102637158E-4</v>
      </c>
    </row>
    <row r="20" spans="1:2" x14ac:dyDescent="0.2">
      <c r="A20">
        <v>118</v>
      </c>
      <c r="B20">
        <f t="shared" si="0"/>
        <v>7.1818442976156278E-4</v>
      </c>
    </row>
    <row r="21" spans="1:2" x14ac:dyDescent="0.2">
      <c r="A21">
        <v>119</v>
      </c>
      <c r="B21">
        <f t="shared" si="0"/>
        <v>7.0616481886872392E-4</v>
      </c>
    </row>
    <row r="22" spans="1:2" x14ac:dyDescent="0.2">
      <c r="A22">
        <v>120</v>
      </c>
      <c r="B22">
        <f t="shared" si="0"/>
        <v>6.9444444444444447E-4</v>
      </c>
    </row>
    <row r="23" spans="1:2" x14ac:dyDescent="0.2">
      <c r="A23">
        <v>121</v>
      </c>
      <c r="B23">
        <f t="shared" si="0"/>
        <v>6.8301345536507074E-4</v>
      </c>
    </row>
    <row r="24" spans="1:2" x14ac:dyDescent="0.2">
      <c r="A24">
        <v>122</v>
      </c>
      <c r="B24">
        <f t="shared" si="0"/>
        <v>6.7186240257995165E-4</v>
      </c>
    </row>
    <row r="25" spans="1:2" x14ac:dyDescent="0.2">
      <c r="A25">
        <v>123</v>
      </c>
      <c r="B25">
        <f t="shared" si="0"/>
        <v>6.6098221957829333E-4</v>
      </c>
    </row>
    <row r="26" spans="1:2" x14ac:dyDescent="0.2">
      <c r="A26">
        <v>124</v>
      </c>
      <c r="B26">
        <f t="shared" si="0"/>
        <v>6.5036420395421437E-4</v>
      </c>
    </row>
    <row r="27" spans="1:2" x14ac:dyDescent="0.2">
      <c r="A27">
        <v>125</v>
      </c>
      <c r="B27">
        <f t="shared" si="0"/>
        <v>6.4000000000000005E-4</v>
      </c>
    </row>
    <row r="28" spans="1:2" x14ac:dyDescent="0.2">
      <c r="A28">
        <v>126</v>
      </c>
      <c r="B28">
        <f t="shared" si="0"/>
        <v>6.2988158226253462E-4</v>
      </c>
    </row>
    <row r="29" spans="1:2" x14ac:dyDescent="0.2">
      <c r="A29">
        <v>127</v>
      </c>
      <c r="B29">
        <f t="shared" si="0"/>
        <v>6.2000124000248004E-4</v>
      </c>
    </row>
    <row r="30" spans="1:2" x14ac:dyDescent="0.2">
      <c r="A30">
        <v>128</v>
      </c>
      <c r="B30">
        <f t="shared" si="0"/>
        <v>6.103515625E-4</v>
      </c>
    </row>
    <row r="31" spans="1:2" x14ac:dyDescent="0.2">
      <c r="A31">
        <v>129</v>
      </c>
      <c r="B31">
        <f t="shared" si="0"/>
        <v>6.0092542515473833E-4</v>
      </c>
    </row>
    <row r="32" spans="1:2" x14ac:dyDescent="0.2">
      <c r="A32">
        <v>130</v>
      </c>
      <c r="B32">
        <f t="shared" si="0"/>
        <v>5.9171597633136095E-4</v>
      </c>
    </row>
    <row r="33" spans="1:2" x14ac:dyDescent="0.2">
      <c r="A33">
        <v>131</v>
      </c>
      <c r="B33">
        <f t="shared" si="0"/>
        <v>5.8271662490530854E-4</v>
      </c>
    </row>
    <row r="34" spans="1:2" x14ac:dyDescent="0.2">
      <c r="A34">
        <v>132</v>
      </c>
      <c r="B34">
        <f t="shared" si="0"/>
        <v>5.7392102846648299E-4</v>
      </c>
    </row>
    <row r="35" spans="1:2" x14ac:dyDescent="0.2">
      <c r="A35">
        <v>133</v>
      </c>
      <c r="B35">
        <f t="shared" si="0"/>
        <v>5.6532308214144388E-4</v>
      </c>
    </row>
    <row r="36" spans="1:2" x14ac:dyDescent="0.2">
      <c r="A36">
        <v>134</v>
      </c>
      <c r="B36">
        <f t="shared" si="0"/>
        <v>5.5691690799732681E-4</v>
      </c>
    </row>
    <row r="37" spans="1:2" x14ac:dyDescent="0.2">
      <c r="A37">
        <v>135</v>
      </c>
      <c r="B37">
        <f t="shared" si="0"/>
        <v>5.4869684499314131E-4</v>
      </c>
    </row>
    <row r="38" spans="1:2" x14ac:dyDescent="0.2">
      <c r="A38">
        <v>136</v>
      </c>
      <c r="B38">
        <f t="shared" si="0"/>
        <v>5.4065743944636683E-4</v>
      </c>
    </row>
    <row r="39" spans="1:2" x14ac:dyDescent="0.2">
      <c r="A39">
        <v>137</v>
      </c>
      <c r="B39">
        <f t="shared" si="0"/>
        <v>5.327934359848687E-4</v>
      </c>
    </row>
    <row r="40" spans="1:2" x14ac:dyDescent="0.2">
      <c r="A40">
        <v>138</v>
      </c>
      <c r="B40">
        <f t="shared" si="0"/>
        <v>5.2509976895610171E-4</v>
      </c>
    </row>
    <row r="41" spans="1:2" x14ac:dyDescent="0.2">
      <c r="A41">
        <v>139</v>
      </c>
      <c r="B41">
        <f t="shared" si="0"/>
        <v>5.1757155426737742E-4</v>
      </c>
    </row>
    <row r="42" spans="1:2" x14ac:dyDescent="0.2">
      <c r="A42">
        <v>140</v>
      </c>
      <c r="B42">
        <f t="shared" si="0"/>
        <v>5.1020408163265311E-4</v>
      </c>
    </row>
    <row r="43" spans="1:2" x14ac:dyDescent="0.2">
      <c r="A43">
        <v>141</v>
      </c>
      <c r="B43">
        <f t="shared" si="0"/>
        <v>5.0299280720285703E-4</v>
      </c>
    </row>
    <row r="44" spans="1:2" x14ac:dyDescent="0.2">
      <c r="A44">
        <v>142</v>
      </c>
      <c r="B44">
        <f t="shared" si="0"/>
        <v>4.959333465582226E-4</v>
      </c>
    </row>
    <row r="45" spans="1:2" x14ac:dyDescent="0.2">
      <c r="A45">
        <v>143</v>
      </c>
      <c r="B45">
        <f t="shared" si="0"/>
        <v>4.890214680424471E-4</v>
      </c>
    </row>
    <row r="46" spans="1:2" x14ac:dyDescent="0.2">
      <c r="A46">
        <v>144</v>
      </c>
      <c r="B46">
        <f t="shared" si="0"/>
        <v>4.8225308641975306E-4</v>
      </c>
    </row>
    <row r="47" spans="1:2" x14ac:dyDescent="0.2">
      <c r="A47">
        <v>145</v>
      </c>
      <c r="B47">
        <f t="shared" si="0"/>
        <v>4.7562425683709869E-4</v>
      </c>
    </row>
    <row r="48" spans="1:2" x14ac:dyDescent="0.2">
      <c r="A48">
        <v>146</v>
      </c>
      <c r="B48">
        <f t="shared" si="0"/>
        <v>4.6913116907487332E-4</v>
      </c>
    </row>
    <row r="49" spans="1:2" x14ac:dyDescent="0.2">
      <c r="A49">
        <v>147</v>
      </c>
      <c r="B49">
        <f t="shared" si="0"/>
        <v>4.6277014207043364E-4</v>
      </c>
    </row>
    <row r="50" spans="1:2" x14ac:dyDescent="0.2">
      <c r="A50">
        <v>148</v>
      </c>
      <c r="B50">
        <f t="shared" si="0"/>
        <v>4.5653761869978088E-4</v>
      </c>
    </row>
    <row r="51" spans="1:2" x14ac:dyDescent="0.2">
      <c r="A51">
        <v>149</v>
      </c>
      <c r="B51">
        <f t="shared" si="0"/>
        <v>4.5043016080356738E-4</v>
      </c>
    </row>
    <row r="52" spans="1:2" x14ac:dyDescent="0.2">
      <c r="A52">
        <v>150</v>
      </c>
      <c r="B52">
        <f t="shared" si="0"/>
        <v>4.4444444444444447E-4</v>
      </c>
    </row>
    <row r="53" spans="1:2" x14ac:dyDescent="0.2">
      <c r="A53">
        <v>151</v>
      </c>
      <c r="B53">
        <f t="shared" si="0"/>
        <v>4.3857725538353582E-4</v>
      </c>
    </row>
    <row r="54" spans="1:2" x14ac:dyDescent="0.2">
      <c r="A54">
        <v>152</v>
      </c>
      <c r="B54">
        <f t="shared" si="0"/>
        <v>4.3282548476454292E-4</v>
      </c>
    </row>
    <row r="55" spans="1:2" x14ac:dyDescent="0.2">
      <c r="A55">
        <v>153</v>
      </c>
      <c r="B55">
        <f t="shared" si="0"/>
        <v>4.2718612499466016E-4</v>
      </c>
    </row>
    <row r="56" spans="1:2" x14ac:dyDescent="0.2">
      <c r="A56">
        <v>154</v>
      </c>
      <c r="B56">
        <f t="shared" si="0"/>
        <v>4.2165626581210997E-4</v>
      </c>
    </row>
    <row r="57" spans="1:2" x14ac:dyDescent="0.2">
      <c r="A57">
        <v>155</v>
      </c>
      <c r="B57">
        <f t="shared" si="0"/>
        <v>4.1623309053069721E-4</v>
      </c>
    </row>
    <row r="58" spans="1:2" x14ac:dyDescent="0.2">
      <c r="A58">
        <v>156</v>
      </c>
      <c r="B58">
        <f t="shared" si="0"/>
        <v>4.1091387245233401E-4</v>
      </c>
    </row>
    <row r="59" spans="1:2" x14ac:dyDescent="0.2">
      <c r="A59">
        <v>157</v>
      </c>
      <c r="B59">
        <f t="shared" si="0"/>
        <v>4.0569597143900359E-4</v>
      </c>
    </row>
    <row r="60" spans="1:2" x14ac:dyDescent="0.2">
      <c r="A60">
        <v>158</v>
      </c>
      <c r="B60">
        <f t="shared" si="0"/>
        <v>4.0057683063611602E-4</v>
      </c>
    </row>
    <row r="61" spans="1:2" x14ac:dyDescent="0.2">
      <c r="A61">
        <v>159</v>
      </c>
      <c r="B61">
        <f t="shared" si="0"/>
        <v>3.9555397333966222E-4</v>
      </c>
    </row>
    <row r="62" spans="1:2" x14ac:dyDescent="0.2">
      <c r="A62">
        <v>160</v>
      </c>
      <c r="B62">
        <f t="shared" si="0"/>
        <v>3.9062500000000002E-4</v>
      </c>
    </row>
    <row r="63" spans="1:2" x14ac:dyDescent="0.2">
      <c r="A63">
        <v>161</v>
      </c>
      <c r="B63">
        <f t="shared" si="0"/>
        <v>3.8578758535550328E-4</v>
      </c>
    </row>
    <row r="64" spans="1:2" x14ac:dyDescent="0.2">
      <c r="A64">
        <v>162</v>
      </c>
      <c r="B64">
        <f t="shared" si="0"/>
        <v>3.8103947568968145E-4</v>
      </c>
    </row>
    <row r="65" spans="1:2" x14ac:dyDescent="0.2">
      <c r="A65">
        <v>163</v>
      </c>
      <c r="B65">
        <f t="shared" si="0"/>
        <v>3.7637848620572848E-4</v>
      </c>
    </row>
    <row r="66" spans="1:2" x14ac:dyDescent="0.2">
      <c r="A66">
        <v>164</v>
      </c>
      <c r="B66">
        <f t="shared" si="0"/>
        <v>3.7180249851278998E-4</v>
      </c>
    </row>
    <row r="67" spans="1:2" x14ac:dyDescent="0.2">
      <c r="A67">
        <v>165</v>
      </c>
      <c r="B67">
        <f t="shared" ref="B67:B130" si="1">10/A67^2</f>
        <v>3.6730945821854911E-4</v>
      </c>
    </row>
    <row r="68" spans="1:2" x14ac:dyDescent="0.2">
      <c r="A68">
        <v>166</v>
      </c>
      <c r="B68">
        <f t="shared" si="1"/>
        <v>3.6289737262302222E-4</v>
      </c>
    </row>
    <row r="69" spans="1:2" x14ac:dyDescent="0.2">
      <c r="A69">
        <v>167</v>
      </c>
      <c r="B69">
        <f t="shared" si="1"/>
        <v>3.5856430850873106E-4</v>
      </c>
    </row>
    <row r="70" spans="1:2" x14ac:dyDescent="0.2">
      <c r="A70">
        <v>168</v>
      </c>
      <c r="B70">
        <f t="shared" si="1"/>
        <v>3.5430839002267573E-4</v>
      </c>
    </row>
    <row r="71" spans="1:2" x14ac:dyDescent="0.2">
      <c r="A71">
        <v>169</v>
      </c>
      <c r="B71">
        <f t="shared" si="1"/>
        <v>3.501277966457757E-4</v>
      </c>
    </row>
    <row r="72" spans="1:2" x14ac:dyDescent="0.2">
      <c r="A72">
        <v>170</v>
      </c>
      <c r="B72">
        <f t="shared" si="1"/>
        <v>3.4602076124567473E-4</v>
      </c>
    </row>
    <row r="73" spans="1:2" x14ac:dyDescent="0.2">
      <c r="A73">
        <v>171</v>
      </c>
      <c r="B73">
        <f t="shared" si="1"/>
        <v>3.4198556820902155E-4</v>
      </c>
    </row>
    <row r="74" spans="1:2" x14ac:dyDescent="0.2">
      <c r="A74">
        <v>172</v>
      </c>
      <c r="B74">
        <f t="shared" si="1"/>
        <v>3.380205516495403E-4</v>
      </c>
    </row>
    <row r="75" spans="1:2" x14ac:dyDescent="0.2">
      <c r="A75">
        <v>173</v>
      </c>
      <c r="B75">
        <f t="shared" si="1"/>
        <v>3.341240936883959E-4</v>
      </c>
    </row>
    <row r="76" spans="1:2" x14ac:dyDescent="0.2">
      <c r="A76">
        <v>174</v>
      </c>
      <c r="B76">
        <f t="shared" si="1"/>
        <v>3.3029462280354075E-4</v>
      </c>
    </row>
    <row r="77" spans="1:2" x14ac:dyDescent="0.2">
      <c r="A77">
        <v>175</v>
      </c>
      <c r="B77">
        <f t="shared" si="1"/>
        <v>3.2653061224489796E-4</v>
      </c>
    </row>
    <row r="78" spans="1:2" x14ac:dyDescent="0.2">
      <c r="A78">
        <v>176</v>
      </c>
      <c r="B78">
        <f t="shared" si="1"/>
        <v>3.228305785123967E-4</v>
      </c>
    </row>
    <row r="79" spans="1:2" x14ac:dyDescent="0.2">
      <c r="A79">
        <v>177</v>
      </c>
      <c r="B79">
        <f t="shared" si="1"/>
        <v>3.1919307989402792E-4</v>
      </c>
    </row>
    <row r="80" spans="1:2" x14ac:dyDescent="0.2">
      <c r="A80">
        <v>178</v>
      </c>
      <c r="B80">
        <f t="shared" si="1"/>
        <v>3.1561671506122964E-4</v>
      </c>
    </row>
    <row r="81" spans="1:2" x14ac:dyDescent="0.2">
      <c r="A81">
        <v>179</v>
      </c>
      <c r="B81">
        <f t="shared" si="1"/>
        <v>3.1210012171904749E-4</v>
      </c>
    </row>
    <row r="82" spans="1:2" x14ac:dyDescent="0.2">
      <c r="A82">
        <v>180</v>
      </c>
      <c r="B82">
        <f t="shared" si="1"/>
        <v>3.0864197530864197E-4</v>
      </c>
    </row>
    <row r="83" spans="1:2" x14ac:dyDescent="0.2">
      <c r="A83">
        <v>181</v>
      </c>
      <c r="B83">
        <f t="shared" si="1"/>
        <v>3.0524098775983641E-4</v>
      </c>
    </row>
    <row r="84" spans="1:2" x14ac:dyDescent="0.2">
      <c r="A84">
        <v>182</v>
      </c>
      <c r="B84">
        <f t="shared" si="1"/>
        <v>3.0189590629151069E-4</v>
      </c>
    </row>
    <row r="85" spans="1:2" x14ac:dyDescent="0.2">
      <c r="A85">
        <v>183</v>
      </c>
      <c r="B85">
        <f t="shared" si="1"/>
        <v>2.9860551225775625E-4</v>
      </c>
    </row>
    <row r="86" spans="1:2" x14ac:dyDescent="0.2">
      <c r="A86">
        <v>184</v>
      </c>
      <c r="B86">
        <f t="shared" si="1"/>
        <v>2.9536862003780718E-4</v>
      </c>
    </row>
    <row r="87" spans="1:2" x14ac:dyDescent="0.2">
      <c r="A87">
        <v>185</v>
      </c>
      <c r="B87">
        <f t="shared" si="1"/>
        <v>2.9218407596785974E-4</v>
      </c>
    </row>
    <row r="88" spans="1:2" x14ac:dyDescent="0.2">
      <c r="A88">
        <v>186</v>
      </c>
      <c r="B88">
        <f t="shared" si="1"/>
        <v>2.8905075731298414E-4</v>
      </c>
    </row>
    <row r="89" spans="1:2" x14ac:dyDescent="0.2">
      <c r="A89">
        <v>187</v>
      </c>
      <c r="B89">
        <f t="shared" si="1"/>
        <v>2.8596757127741712E-4</v>
      </c>
    </row>
    <row r="90" spans="1:2" x14ac:dyDescent="0.2">
      <c r="A90">
        <v>188</v>
      </c>
      <c r="B90">
        <f t="shared" si="1"/>
        <v>2.8293345405160705E-4</v>
      </c>
    </row>
    <row r="91" spans="1:2" x14ac:dyDescent="0.2">
      <c r="A91">
        <v>189</v>
      </c>
      <c r="B91">
        <f t="shared" si="1"/>
        <v>2.7994736989445985E-4</v>
      </c>
    </row>
    <row r="92" spans="1:2" x14ac:dyDescent="0.2">
      <c r="A92">
        <v>190</v>
      </c>
      <c r="B92">
        <f t="shared" si="1"/>
        <v>2.770083102493075E-4</v>
      </c>
    </row>
    <row r="93" spans="1:2" x14ac:dyDescent="0.2">
      <c r="A93">
        <v>191</v>
      </c>
      <c r="B93">
        <f t="shared" si="1"/>
        <v>2.7411529289219044E-4</v>
      </c>
    </row>
    <row r="94" spans="1:2" x14ac:dyDescent="0.2">
      <c r="A94">
        <v>192</v>
      </c>
      <c r="B94">
        <f t="shared" si="1"/>
        <v>2.7126736111111112E-4</v>
      </c>
    </row>
    <row r="95" spans="1:2" x14ac:dyDescent="0.2">
      <c r="A95">
        <v>193</v>
      </c>
      <c r="B95">
        <f t="shared" si="1"/>
        <v>2.6846358291497761E-4</v>
      </c>
    </row>
    <row r="96" spans="1:2" x14ac:dyDescent="0.2">
      <c r="A96">
        <v>194</v>
      </c>
      <c r="B96">
        <f t="shared" si="1"/>
        <v>2.6570305027101711E-4</v>
      </c>
    </row>
    <row r="97" spans="1:2" x14ac:dyDescent="0.2">
      <c r="A97">
        <v>195</v>
      </c>
      <c r="B97">
        <f t="shared" si="1"/>
        <v>2.6298487836949375E-4</v>
      </c>
    </row>
    <row r="98" spans="1:2" x14ac:dyDescent="0.2">
      <c r="A98">
        <v>196</v>
      </c>
      <c r="B98">
        <f t="shared" si="1"/>
        <v>2.6030820491461891E-4</v>
      </c>
    </row>
    <row r="99" spans="1:2" x14ac:dyDescent="0.2">
      <c r="A99">
        <v>197</v>
      </c>
      <c r="B99">
        <f t="shared" si="1"/>
        <v>2.5767218944059366E-4</v>
      </c>
    </row>
    <row r="100" spans="1:2" x14ac:dyDescent="0.2">
      <c r="A100">
        <v>198</v>
      </c>
      <c r="B100">
        <f t="shared" si="1"/>
        <v>2.5507601265177022E-4</v>
      </c>
    </row>
    <row r="101" spans="1:2" x14ac:dyDescent="0.2">
      <c r="A101">
        <v>199</v>
      </c>
      <c r="B101">
        <f t="shared" si="1"/>
        <v>2.5251887578596499E-4</v>
      </c>
    </row>
    <row r="102" spans="1:2" x14ac:dyDescent="0.2">
      <c r="A102">
        <v>200</v>
      </c>
      <c r="B102">
        <f t="shared" si="1"/>
        <v>2.5000000000000001E-4</v>
      </c>
    </row>
    <row r="103" spans="1:2" x14ac:dyDescent="0.2">
      <c r="A103">
        <v>201</v>
      </c>
      <c r="B103">
        <f t="shared" si="1"/>
        <v>2.4751862577658968E-4</v>
      </c>
    </row>
    <row r="104" spans="1:2" x14ac:dyDescent="0.2">
      <c r="A104">
        <v>202</v>
      </c>
      <c r="B104">
        <f t="shared" si="1"/>
        <v>2.4507401235173023E-4</v>
      </c>
    </row>
    <row r="105" spans="1:2" x14ac:dyDescent="0.2">
      <c r="A105">
        <v>203</v>
      </c>
      <c r="B105">
        <f t="shared" si="1"/>
        <v>2.4266543716178505E-4</v>
      </c>
    </row>
    <row r="106" spans="1:2" x14ac:dyDescent="0.2">
      <c r="A106">
        <v>204</v>
      </c>
      <c r="B106">
        <f t="shared" si="1"/>
        <v>2.4029219530949635E-4</v>
      </c>
    </row>
    <row r="107" spans="1:2" x14ac:dyDescent="0.2">
      <c r="A107">
        <v>205</v>
      </c>
      <c r="B107">
        <f t="shared" si="1"/>
        <v>2.379535990481856E-4</v>
      </c>
    </row>
    <row r="108" spans="1:2" x14ac:dyDescent="0.2">
      <c r="A108">
        <v>206</v>
      </c>
      <c r="B108">
        <f t="shared" si="1"/>
        <v>2.3564897728343859E-4</v>
      </c>
    </row>
    <row r="109" spans="1:2" x14ac:dyDescent="0.2">
      <c r="A109">
        <v>207</v>
      </c>
      <c r="B109">
        <f t="shared" si="1"/>
        <v>2.3337767509160073E-4</v>
      </c>
    </row>
    <row r="110" spans="1:2" x14ac:dyDescent="0.2">
      <c r="A110">
        <v>208</v>
      </c>
      <c r="B110">
        <f t="shared" si="1"/>
        <v>2.3113905325443786E-4</v>
      </c>
    </row>
    <row r="111" spans="1:2" x14ac:dyDescent="0.2">
      <c r="A111">
        <v>209</v>
      </c>
      <c r="B111">
        <f t="shared" si="1"/>
        <v>2.2893248780934502E-4</v>
      </c>
    </row>
    <row r="112" spans="1:2" x14ac:dyDescent="0.2">
      <c r="A112">
        <v>210</v>
      </c>
      <c r="B112">
        <f t="shared" si="1"/>
        <v>2.2675736961451248E-4</v>
      </c>
    </row>
    <row r="113" spans="1:2" x14ac:dyDescent="0.2">
      <c r="A113">
        <v>211</v>
      </c>
      <c r="B113">
        <f t="shared" si="1"/>
        <v>2.246131039284832E-4</v>
      </c>
    </row>
    <row r="114" spans="1:2" x14ac:dyDescent="0.2">
      <c r="A114">
        <v>212</v>
      </c>
      <c r="B114">
        <f t="shared" si="1"/>
        <v>2.2249911000356E-4</v>
      </c>
    </row>
    <row r="115" spans="1:2" x14ac:dyDescent="0.2">
      <c r="A115">
        <v>213</v>
      </c>
      <c r="B115">
        <f t="shared" si="1"/>
        <v>2.2041482069254338E-4</v>
      </c>
    </row>
    <row r="116" spans="1:2" x14ac:dyDescent="0.2">
      <c r="A116">
        <v>214</v>
      </c>
      <c r="B116">
        <f t="shared" si="1"/>
        <v>2.1835968206830291E-4</v>
      </c>
    </row>
    <row r="117" spans="1:2" x14ac:dyDescent="0.2">
      <c r="A117">
        <v>215</v>
      </c>
      <c r="B117">
        <f t="shared" si="1"/>
        <v>2.1633315305570578E-4</v>
      </c>
    </row>
    <row r="118" spans="1:2" x14ac:dyDescent="0.2">
      <c r="A118">
        <v>216</v>
      </c>
      <c r="B118">
        <f t="shared" si="1"/>
        <v>2.1433470507544581E-4</v>
      </c>
    </row>
    <row r="119" spans="1:2" x14ac:dyDescent="0.2">
      <c r="A119">
        <v>217</v>
      </c>
      <c r="B119">
        <f t="shared" si="1"/>
        <v>2.1236382169933531E-4</v>
      </c>
    </row>
    <row r="120" spans="1:2" x14ac:dyDescent="0.2">
      <c r="A120">
        <v>218</v>
      </c>
      <c r="B120">
        <f t="shared" si="1"/>
        <v>2.1041999831664001E-4</v>
      </c>
    </row>
    <row r="121" spans="1:2" x14ac:dyDescent="0.2">
      <c r="A121">
        <v>219</v>
      </c>
      <c r="B121">
        <f t="shared" si="1"/>
        <v>2.0850274181105481E-4</v>
      </c>
    </row>
    <row r="122" spans="1:2" x14ac:dyDescent="0.2">
      <c r="A122">
        <v>220</v>
      </c>
      <c r="B122">
        <f t="shared" si="1"/>
        <v>2.0661157024793388E-4</v>
      </c>
    </row>
    <row r="123" spans="1:2" x14ac:dyDescent="0.2">
      <c r="A123">
        <v>221</v>
      </c>
      <c r="B123">
        <f t="shared" si="1"/>
        <v>2.0474601257140516E-4</v>
      </c>
    </row>
    <row r="124" spans="1:2" x14ac:dyDescent="0.2">
      <c r="A124">
        <v>222</v>
      </c>
      <c r="B124">
        <f t="shared" si="1"/>
        <v>2.0290560831101373E-4</v>
      </c>
    </row>
    <row r="125" spans="1:2" x14ac:dyDescent="0.2">
      <c r="A125">
        <v>223</v>
      </c>
      <c r="B125">
        <f t="shared" si="1"/>
        <v>2.0108990729755273E-4</v>
      </c>
    </row>
    <row r="126" spans="1:2" x14ac:dyDescent="0.2">
      <c r="A126">
        <v>224</v>
      </c>
      <c r="B126">
        <f t="shared" si="1"/>
        <v>1.9929846938775511E-4</v>
      </c>
    </row>
    <row r="127" spans="1:2" x14ac:dyDescent="0.2">
      <c r="A127">
        <v>225</v>
      </c>
      <c r="B127">
        <f t="shared" si="1"/>
        <v>1.9753086419753085E-4</v>
      </c>
    </row>
    <row r="128" spans="1:2" x14ac:dyDescent="0.2">
      <c r="A128">
        <v>226</v>
      </c>
      <c r="B128">
        <f t="shared" si="1"/>
        <v>1.9578667084344897E-4</v>
      </c>
    </row>
    <row r="129" spans="1:2" x14ac:dyDescent="0.2">
      <c r="A129">
        <v>227</v>
      </c>
      <c r="B129">
        <f t="shared" si="1"/>
        <v>1.9406547769217333E-4</v>
      </c>
    </row>
    <row r="130" spans="1:2" x14ac:dyDescent="0.2">
      <c r="A130">
        <v>228</v>
      </c>
      <c r="B130">
        <f t="shared" si="1"/>
        <v>1.9236688211757464E-4</v>
      </c>
    </row>
    <row r="131" spans="1:2" x14ac:dyDescent="0.2">
      <c r="A131">
        <v>229</v>
      </c>
      <c r="B131">
        <f t="shared" ref="B131:B194" si="2">10/A131^2</f>
        <v>1.9069049026525047E-4</v>
      </c>
    </row>
    <row r="132" spans="1:2" x14ac:dyDescent="0.2">
      <c r="A132">
        <v>230</v>
      </c>
      <c r="B132">
        <f t="shared" si="2"/>
        <v>1.8903591682419661E-4</v>
      </c>
    </row>
    <row r="133" spans="1:2" x14ac:dyDescent="0.2">
      <c r="A133">
        <v>231</v>
      </c>
      <c r="B133">
        <f t="shared" si="2"/>
        <v>1.874027848053822E-4</v>
      </c>
    </row>
    <row r="134" spans="1:2" x14ac:dyDescent="0.2">
      <c r="A134">
        <v>232</v>
      </c>
      <c r="B134">
        <f t="shared" si="2"/>
        <v>1.8579072532699169E-4</v>
      </c>
    </row>
    <row r="135" spans="1:2" x14ac:dyDescent="0.2">
      <c r="A135">
        <v>233</v>
      </c>
      <c r="B135">
        <f t="shared" si="2"/>
        <v>1.8419937740610438E-4</v>
      </c>
    </row>
    <row r="136" spans="1:2" x14ac:dyDescent="0.2">
      <c r="A136">
        <v>234</v>
      </c>
      <c r="B136">
        <f t="shared" si="2"/>
        <v>1.8262838775659289E-4</v>
      </c>
    </row>
    <row r="137" spans="1:2" x14ac:dyDescent="0.2">
      <c r="A137">
        <v>235</v>
      </c>
      <c r="B137">
        <f t="shared" si="2"/>
        <v>1.8107741059302852E-4</v>
      </c>
    </row>
    <row r="138" spans="1:2" x14ac:dyDescent="0.2">
      <c r="A138">
        <v>236</v>
      </c>
      <c r="B138">
        <f t="shared" si="2"/>
        <v>1.795461074403907E-4</v>
      </c>
    </row>
    <row r="139" spans="1:2" x14ac:dyDescent="0.2">
      <c r="A139">
        <v>237</v>
      </c>
      <c r="B139">
        <f t="shared" si="2"/>
        <v>1.7803414694938488E-4</v>
      </c>
    </row>
    <row r="140" spans="1:2" x14ac:dyDescent="0.2">
      <c r="A140">
        <v>238</v>
      </c>
      <c r="B140">
        <f t="shared" si="2"/>
        <v>1.7654120471718098E-4</v>
      </c>
    </row>
    <row r="141" spans="1:2" x14ac:dyDescent="0.2">
      <c r="A141">
        <v>239</v>
      </c>
      <c r="B141">
        <f t="shared" si="2"/>
        <v>1.7506696311339086E-4</v>
      </c>
    </row>
    <row r="142" spans="1:2" x14ac:dyDescent="0.2">
      <c r="A142">
        <v>240</v>
      </c>
      <c r="B142">
        <f t="shared" si="2"/>
        <v>1.7361111111111112E-4</v>
      </c>
    </row>
    <row r="143" spans="1:2" x14ac:dyDescent="0.2">
      <c r="A143">
        <v>241</v>
      </c>
      <c r="B143">
        <f t="shared" si="2"/>
        <v>1.721733441228629E-4</v>
      </c>
    </row>
    <row r="144" spans="1:2" x14ac:dyDescent="0.2">
      <c r="A144">
        <v>242</v>
      </c>
      <c r="B144">
        <f t="shared" si="2"/>
        <v>1.7075336384126768E-4</v>
      </c>
    </row>
    <row r="145" spans="1:2" x14ac:dyDescent="0.2">
      <c r="A145">
        <v>243</v>
      </c>
      <c r="B145">
        <f t="shared" si="2"/>
        <v>1.6935087808430286E-4</v>
      </c>
    </row>
    <row r="146" spans="1:2" x14ac:dyDescent="0.2">
      <c r="A146">
        <v>244</v>
      </c>
      <c r="B146">
        <f t="shared" si="2"/>
        <v>1.6796560064498791E-4</v>
      </c>
    </row>
    <row r="147" spans="1:2" x14ac:dyDescent="0.2">
      <c r="A147">
        <v>245</v>
      </c>
      <c r="B147">
        <f t="shared" si="2"/>
        <v>1.665972511453561E-4</v>
      </c>
    </row>
    <row r="148" spans="1:2" x14ac:dyDescent="0.2">
      <c r="A148">
        <v>246</v>
      </c>
      <c r="B148">
        <f t="shared" si="2"/>
        <v>1.6524555489457333E-4</v>
      </c>
    </row>
    <row r="149" spans="1:2" x14ac:dyDescent="0.2">
      <c r="A149">
        <v>247</v>
      </c>
      <c r="B149">
        <f t="shared" si="2"/>
        <v>1.6391024275106951E-4</v>
      </c>
    </row>
    <row r="150" spans="1:2" x14ac:dyDescent="0.2">
      <c r="A150">
        <v>248</v>
      </c>
      <c r="B150">
        <f t="shared" si="2"/>
        <v>1.6259105098855359E-4</v>
      </c>
    </row>
    <row r="151" spans="1:2" x14ac:dyDescent="0.2">
      <c r="A151">
        <v>249</v>
      </c>
      <c r="B151">
        <f t="shared" si="2"/>
        <v>1.6128772116578765E-4</v>
      </c>
    </row>
    <row r="152" spans="1:2" x14ac:dyDescent="0.2">
      <c r="A152">
        <v>250</v>
      </c>
      <c r="B152">
        <f t="shared" si="2"/>
        <v>1.6000000000000001E-4</v>
      </c>
    </row>
    <row r="153" spans="1:2" x14ac:dyDescent="0.2">
      <c r="A153">
        <v>251</v>
      </c>
      <c r="B153">
        <f t="shared" si="2"/>
        <v>1.5872763924382153E-4</v>
      </c>
    </row>
    <row r="154" spans="1:2" x14ac:dyDescent="0.2">
      <c r="A154">
        <v>252</v>
      </c>
      <c r="B154">
        <f t="shared" si="2"/>
        <v>1.5747039556563366E-4</v>
      </c>
    </row>
    <row r="155" spans="1:2" x14ac:dyDescent="0.2">
      <c r="A155">
        <v>253</v>
      </c>
      <c r="B155">
        <f t="shared" si="2"/>
        <v>1.5622803043322032E-4</v>
      </c>
    </row>
    <row r="156" spans="1:2" x14ac:dyDescent="0.2">
      <c r="A156">
        <v>254</v>
      </c>
      <c r="B156">
        <f t="shared" si="2"/>
        <v>1.5500031000062001E-4</v>
      </c>
    </row>
    <row r="157" spans="1:2" x14ac:dyDescent="0.2">
      <c r="A157">
        <v>255</v>
      </c>
      <c r="B157">
        <f t="shared" si="2"/>
        <v>1.5378700499807767E-4</v>
      </c>
    </row>
    <row r="158" spans="1:2" x14ac:dyDescent="0.2">
      <c r="A158">
        <v>256</v>
      </c>
      <c r="B158">
        <f t="shared" si="2"/>
        <v>1.52587890625E-4</v>
      </c>
    </row>
    <row r="159" spans="1:2" x14ac:dyDescent="0.2">
      <c r="A159">
        <v>257</v>
      </c>
      <c r="B159">
        <f t="shared" si="2"/>
        <v>1.5140274644582052E-4</v>
      </c>
    </row>
    <row r="160" spans="1:2" x14ac:dyDescent="0.2">
      <c r="A160">
        <v>258</v>
      </c>
      <c r="B160">
        <f t="shared" si="2"/>
        <v>1.5023135628868458E-4</v>
      </c>
    </row>
    <row r="161" spans="1:2" x14ac:dyDescent="0.2">
      <c r="A161">
        <v>259</v>
      </c>
      <c r="B161">
        <f t="shared" si="2"/>
        <v>1.4907350814686722E-4</v>
      </c>
    </row>
    <row r="162" spans="1:2" x14ac:dyDescent="0.2">
      <c r="A162">
        <v>260</v>
      </c>
      <c r="B162">
        <f t="shared" si="2"/>
        <v>1.4792899408284024E-4</v>
      </c>
    </row>
    <row r="163" spans="1:2" x14ac:dyDescent="0.2">
      <c r="A163">
        <v>261</v>
      </c>
      <c r="B163">
        <f t="shared" si="2"/>
        <v>1.46797610134907E-4</v>
      </c>
    </row>
    <row r="164" spans="1:2" x14ac:dyDescent="0.2">
      <c r="A164">
        <v>262</v>
      </c>
      <c r="B164">
        <f t="shared" si="2"/>
        <v>1.4567915622632713E-4</v>
      </c>
    </row>
    <row r="165" spans="1:2" x14ac:dyDescent="0.2">
      <c r="A165">
        <v>263</v>
      </c>
      <c r="B165">
        <f t="shared" si="2"/>
        <v>1.4457343607685524E-4</v>
      </c>
    </row>
    <row r="166" spans="1:2" x14ac:dyDescent="0.2">
      <c r="A166">
        <v>264</v>
      </c>
      <c r="B166">
        <f t="shared" si="2"/>
        <v>1.4348025711662075E-4</v>
      </c>
    </row>
    <row r="167" spans="1:2" x14ac:dyDescent="0.2">
      <c r="A167">
        <v>265</v>
      </c>
      <c r="B167">
        <f t="shared" si="2"/>
        <v>1.4239943040227838E-4</v>
      </c>
    </row>
    <row r="168" spans="1:2" x14ac:dyDescent="0.2">
      <c r="A168">
        <v>266</v>
      </c>
      <c r="B168">
        <f t="shared" si="2"/>
        <v>1.4133077053536097E-4</v>
      </c>
    </row>
    <row r="169" spans="1:2" x14ac:dyDescent="0.2">
      <c r="A169">
        <v>267</v>
      </c>
      <c r="B169">
        <f t="shared" si="2"/>
        <v>1.4027409558276874E-4</v>
      </c>
    </row>
    <row r="170" spans="1:2" x14ac:dyDescent="0.2">
      <c r="A170">
        <v>268</v>
      </c>
      <c r="B170">
        <f t="shared" si="2"/>
        <v>1.392292269993317E-4</v>
      </c>
    </row>
    <row r="171" spans="1:2" x14ac:dyDescent="0.2">
      <c r="A171">
        <v>269</v>
      </c>
      <c r="B171">
        <f t="shared" si="2"/>
        <v>1.3819598955238318E-4</v>
      </c>
    </row>
    <row r="172" spans="1:2" x14ac:dyDescent="0.2">
      <c r="A172">
        <v>270</v>
      </c>
      <c r="B172">
        <f t="shared" si="2"/>
        <v>1.3717421124828533E-4</v>
      </c>
    </row>
    <row r="173" spans="1:2" x14ac:dyDescent="0.2">
      <c r="A173">
        <v>271</v>
      </c>
      <c r="B173">
        <f t="shared" si="2"/>
        <v>1.3616372326084885E-4</v>
      </c>
    </row>
    <row r="174" spans="1:2" x14ac:dyDescent="0.2">
      <c r="A174">
        <v>272</v>
      </c>
      <c r="B174">
        <f t="shared" si="2"/>
        <v>1.3516435986159171E-4</v>
      </c>
    </row>
    <row r="175" spans="1:2" x14ac:dyDescent="0.2">
      <c r="A175">
        <v>273</v>
      </c>
      <c r="B175">
        <f t="shared" si="2"/>
        <v>1.3417595835178253E-4</v>
      </c>
    </row>
    <row r="176" spans="1:2" x14ac:dyDescent="0.2">
      <c r="A176">
        <v>274</v>
      </c>
      <c r="B176">
        <f t="shared" si="2"/>
        <v>1.3319835899621717E-4</v>
      </c>
    </row>
    <row r="177" spans="1:2" x14ac:dyDescent="0.2">
      <c r="A177">
        <v>275</v>
      </c>
      <c r="B177">
        <f t="shared" si="2"/>
        <v>1.3223140495867769E-4</v>
      </c>
    </row>
    <row r="178" spans="1:2" x14ac:dyDescent="0.2">
      <c r="A178">
        <v>276</v>
      </c>
      <c r="B178">
        <f t="shared" si="2"/>
        <v>1.3127494223902543E-4</v>
      </c>
    </row>
    <row r="179" spans="1:2" x14ac:dyDescent="0.2">
      <c r="A179">
        <v>277</v>
      </c>
      <c r="B179">
        <f t="shared" si="2"/>
        <v>1.3032881961188078E-4</v>
      </c>
    </row>
    <row r="180" spans="1:2" x14ac:dyDescent="0.2">
      <c r="A180">
        <v>278</v>
      </c>
      <c r="B180">
        <f t="shared" si="2"/>
        <v>1.2939288856684435E-4</v>
      </c>
    </row>
    <row r="181" spans="1:2" x14ac:dyDescent="0.2">
      <c r="A181">
        <v>279</v>
      </c>
      <c r="B181">
        <f t="shared" si="2"/>
        <v>1.2846700325021518E-4</v>
      </c>
    </row>
    <row r="182" spans="1:2" x14ac:dyDescent="0.2">
      <c r="A182">
        <v>280</v>
      </c>
      <c r="B182">
        <f t="shared" si="2"/>
        <v>1.2755102040816328E-4</v>
      </c>
    </row>
    <row r="183" spans="1:2" x14ac:dyDescent="0.2">
      <c r="A183">
        <v>281</v>
      </c>
      <c r="B183">
        <f t="shared" si="2"/>
        <v>1.2664479933131547E-4</v>
      </c>
    </row>
    <row r="184" spans="1:2" x14ac:dyDescent="0.2">
      <c r="A184">
        <v>282</v>
      </c>
      <c r="B184">
        <f t="shared" si="2"/>
        <v>1.2574820180071426E-4</v>
      </c>
    </row>
    <row r="185" spans="1:2" x14ac:dyDescent="0.2">
      <c r="A185">
        <v>283</v>
      </c>
      <c r="B185">
        <f t="shared" si="2"/>
        <v>1.2486109203511093E-4</v>
      </c>
    </row>
    <row r="186" spans="1:2" x14ac:dyDescent="0.2">
      <c r="A186">
        <v>284</v>
      </c>
      <c r="B186">
        <f t="shared" si="2"/>
        <v>1.2398333663955565E-4</v>
      </c>
    </row>
    <row r="187" spans="1:2" x14ac:dyDescent="0.2">
      <c r="A187">
        <v>285</v>
      </c>
      <c r="B187">
        <f t="shared" si="2"/>
        <v>1.2311480455524777E-4</v>
      </c>
    </row>
    <row r="188" spans="1:2" x14ac:dyDescent="0.2">
      <c r="A188">
        <v>286</v>
      </c>
      <c r="B188">
        <f t="shared" si="2"/>
        <v>1.2225536701061178E-4</v>
      </c>
    </row>
    <row r="189" spans="1:2" x14ac:dyDescent="0.2">
      <c r="A189">
        <v>287</v>
      </c>
      <c r="B189">
        <f t="shared" si="2"/>
        <v>1.2140489747356408E-4</v>
      </c>
    </row>
    <row r="190" spans="1:2" x14ac:dyDescent="0.2">
      <c r="A190">
        <v>288</v>
      </c>
      <c r="B190">
        <f t="shared" si="2"/>
        <v>1.2056327160493826E-4</v>
      </c>
    </row>
    <row r="191" spans="1:2" x14ac:dyDescent="0.2">
      <c r="A191">
        <v>289</v>
      </c>
      <c r="B191">
        <f t="shared" si="2"/>
        <v>1.1973036721303624E-4</v>
      </c>
    </row>
    <row r="192" spans="1:2" x14ac:dyDescent="0.2">
      <c r="A192">
        <v>290</v>
      </c>
      <c r="B192">
        <f t="shared" si="2"/>
        <v>1.1890606420927467E-4</v>
      </c>
    </row>
    <row r="193" spans="1:2" x14ac:dyDescent="0.2">
      <c r="A193">
        <v>291</v>
      </c>
      <c r="B193">
        <f t="shared" si="2"/>
        <v>1.1809024456489649E-4</v>
      </c>
    </row>
    <row r="194" spans="1:2" x14ac:dyDescent="0.2">
      <c r="A194">
        <v>292</v>
      </c>
      <c r="B194">
        <f t="shared" si="2"/>
        <v>1.1728279226871833E-4</v>
      </c>
    </row>
    <row r="195" spans="1:2" x14ac:dyDescent="0.2">
      <c r="A195">
        <v>293</v>
      </c>
      <c r="B195">
        <f t="shared" ref="B195:B258" si="3">10/A195^2</f>
        <v>1.1648359328588569E-4</v>
      </c>
    </row>
    <row r="196" spans="1:2" x14ac:dyDescent="0.2">
      <c r="A196">
        <v>294</v>
      </c>
      <c r="B196">
        <f t="shared" si="3"/>
        <v>1.1569253551760841E-4</v>
      </c>
    </row>
    <row r="197" spans="1:2" x14ac:dyDescent="0.2">
      <c r="A197">
        <v>295</v>
      </c>
      <c r="B197">
        <f t="shared" si="3"/>
        <v>1.1490950876185004E-4</v>
      </c>
    </row>
    <row r="198" spans="1:2" x14ac:dyDescent="0.2">
      <c r="A198">
        <v>296</v>
      </c>
      <c r="B198">
        <f t="shared" si="3"/>
        <v>1.1413440467494522E-4</v>
      </c>
    </row>
    <row r="199" spans="1:2" x14ac:dyDescent="0.2">
      <c r="A199">
        <v>297</v>
      </c>
      <c r="B199">
        <f t="shared" si="3"/>
        <v>1.1336711673412011E-4</v>
      </c>
    </row>
    <row r="200" spans="1:2" x14ac:dyDescent="0.2">
      <c r="A200">
        <v>298</v>
      </c>
      <c r="B200">
        <f t="shared" si="3"/>
        <v>1.1260754020089185E-4</v>
      </c>
    </row>
    <row r="201" spans="1:2" x14ac:dyDescent="0.2">
      <c r="A201">
        <v>299</v>
      </c>
      <c r="B201">
        <f t="shared" si="3"/>
        <v>1.1185557208532343E-4</v>
      </c>
    </row>
    <row r="202" spans="1:2" x14ac:dyDescent="0.2">
      <c r="A202">
        <v>300</v>
      </c>
      <c r="B202">
        <f t="shared" si="3"/>
        <v>1.1111111111111112E-4</v>
      </c>
    </row>
    <row r="203" spans="1:2" x14ac:dyDescent="0.2">
      <c r="A203">
        <v>301</v>
      </c>
      <c r="B203">
        <f t="shared" si="3"/>
        <v>1.1037405768148254E-4</v>
      </c>
    </row>
    <row r="204" spans="1:2" x14ac:dyDescent="0.2">
      <c r="A204">
        <v>302</v>
      </c>
      <c r="B204">
        <f t="shared" si="3"/>
        <v>1.0964431384588396E-4</v>
      </c>
    </row>
    <row r="205" spans="1:2" x14ac:dyDescent="0.2">
      <c r="A205">
        <v>303</v>
      </c>
      <c r="B205">
        <f t="shared" si="3"/>
        <v>1.0892178326743565E-4</v>
      </c>
    </row>
    <row r="206" spans="1:2" x14ac:dyDescent="0.2">
      <c r="A206">
        <v>304</v>
      </c>
      <c r="B206">
        <f t="shared" si="3"/>
        <v>1.0820637119113573E-4</v>
      </c>
    </row>
    <row r="207" spans="1:2" x14ac:dyDescent="0.2">
      <c r="A207">
        <v>305</v>
      </c>
      <c r="B207">
        <f t="shared" si="3"/>
        <v>1.0749798441279227E-4</v>
      </c>
    </row>
    <row r="208" spans="1:2" x14ac:dyDescent="0.2">
      <c r="A208">
        <v>306</v>
      </c>
      <c r="B208">
        <f t="shared" si="3"/>
        <v>1.0679653124866504E-4</v>
      </c>
    </row>
    <row r="209" spans="1:2" x14ac:dyDescent="0.2">
      <c r="A209">
        <v>307</v>
      </c>
      <c r="B209">
        <f t="shared" si="3"/>
        <v>1.0610192150579847E-4</v>
      </c>
    </row>
    <row r="210" spans="1:2" x14ac:dyDescent="0.2">
      <c r="A210">
        <v>308</v>
      </c>
      <c r="B210">
        <f t="shared" si="3"/>
        <v>1.0541406645302749E-4</v>
      </c>
    </row>
    <row r="211" spans="1:2" x14ac:dyDescent="0.2">
      <c r="A211">
        <v>309</v>
      </c>
      <c r="B211">
        <f t="shared" si="3"/>
        <v>1.0473287879263938E-4</v>
      </c>
    </row>
    <row r="212" spans="1:2" x14ac:dyDescent="0.2">
      <c r="A212">
        <v>310</v>
      </c>
      <c r="B212">
        <f t="shared" si="3"/>
        <v>1.040582726326743E-4</v>
      </c>
    </row>
    <row r="213" spans="1:2" x14ac:dyDescent="0.2">
      <c r="A213">
        <v>311</v>
      </c>
      <c r="B213">
        <f t="shared" si="3"/>
        <v>1.0339016345984842E-4</v>
      </c>
    </row>
    <row r="214" spans="1:2" x14ac:dyDescent="0.2">
      <c r="A214">
        <v>312</v>
      </c>
      <c r="B214">
        <f t="shared" si="3"/>
        <v>1.027284681130835E-4</v>
      </c>
    </row>
    <row r="215" spans="1:2" x14ac:dyDescent="0.2">
      <c r="A215">
        <v>313</v>
      </c>
      <c r="B215">
        <f t="shared" si="3"/>
        <v>1.0207310475762741E-4</v>
      </c>
    </row>
    <row r="216" spans="1:2" x14ac:dyDescent="0.2">
      <c r="A216">
        <v>314</v>
      </c>
      <c r="B216">
        <f t="shared" si="3"/>
        <v>1.014239928597509E-4</v>
      </c>
    </row>
    <row r="217" spans="1:2" x14ac:dyDescent="0.2">
      <c r="A217">
        <v>315</v>
      </c>
      <c r="B217">
        <f t="shared" si="3"/>
        <v>1.0078105316200554E-4</v>
      </c>
    </row>
    <row r="218" spans="1:2" x14ac:dyDescent="0.2">
      <c r="A218">
        <v>316</v>
      </c>
      <c r="B218">
        <f t="shared" si="3"/>
        <v>1.0014420765902901E-4</v>
      </c>
    </row>
    <row r="219" spans="1:2" x14ac:dyDescent="0.2">
      <c r="A219">
        <v>317</v>
      </c>
      <c r="B219">
        <f t="shared" si="3"/>
        <v>9.9513379573883712E-5</v>
      </c>
    </row>
    <row r="220" spans="1:2" x14ac:dyDescent="0.2">
      <c r="A220">
        <v>318</v>
      </c>
      <c r="B220">
        <f t="shared" si="3"/>
        <v>9.8888493334915555E-5</v>
      </c>
    </row>
    <row r="221" spans="1:2" x14ac:dyDescent="0.2">
      <c r="A221">
        <v>319</v>
      </c>
      <c r="B221">
        <f t="shared" si="3"/>
        <v>9.8269474553119569E-5</v>
      </c>
    </row>
    <row r="222" spans="1:2" x14ac:dyDescent="0.2">
      <c r="A222">
        <v>320</v>
      </c>
      <c r="B222">
        <f t="shared" si="3"/>
        <v>9.7656250000000005E-5</v>
      </c>
    </row>
    <row r="223" spans="1:2" x14ac:dyDescent="0.2">
      <c r="A223">
        <v>321</v>
      </c>
      <c r="B223">
        <f t="shared" si="3"/>
        <v>9.7048747585912402E-5</v>
      </c>
    </row>
    <row r="224" spans="1:2" x14ac:dyDescent="0.2">
      <c r="A224">
        <v>322</v>
      </c>
      <c r="B224">
        <f t="shared" si="3"/>
        <v>9.6446896338875821E-5</v>
      </c>
    </row>
    <row r="225" spans="1:2" x14ac:dyDescent="0.2">
      <c r="A225">
        <v>323</v>
      </c>
      <c r="B225">
        <f t="shared" si="3"/>
        <v>9.585062638384342E-5</v>
      </c>
    </row>
    <row r="226" spans="1:2" x14ac:dyDescent="0.2">
      <c r="A226">
        <v>324</v>
      </c>
      <c r="B226">
        <f t="shared" si="3"/>
        <v>9.5259868922420362E-5</v>
      </c>
    </row>
    <row r="227" spans="1:2" x14ac:dyDescent="0.2">
      <c r="A227">
        <v>325</v>
      </c>
      <c r="B227">
        <f t="shared" si="3"/>
        <v>9.4674556213017751E-5</v>
      </c>
    </row>
    <row r="228" spans="1:2" x14ac:dyDescent="0.2">
      <c r="A228">
        <v>326</v>
      </c>
      <c r="B228">
        <f t="shared" si="3"/>
        <v>9.4094621551432119E-5</v>
      </c>
    </row>
    <row r="229" spans="1:2" x14ac:dyDescent="0.2">
      <c r="A229">
        <v>327</v>
      </c>
      <c r="B229">
        <f t="shared" si="3"/>
        <v>9.3519999251840002E-5</v>
      </c>
    </row>
    <row r="230" spans="1:2" x14ac:dyDescent="0.2">
      <c r="A230">
        <v>328</v>
      </c>
      <c r="B230">
        <f t="shared" si="3"/>
        <v>9.2950624628197496E-5</v>
      </c>
    </row>
    <row r="231" spans="1:2" x14ac:dyDescent="0.2">
      <c r="A231">
        <v>329</v>
      </c>
      <c r="B231">
        <f t="shared" si="3"/>
        <v>9.2386433976034965E-5</v>
      </c>
    </row>
    <row r="232" spans="1:2" x14ac:dyDescent="0.2">
      <c r="A232">
        <v>330</v>
      </c>
      <c r="B232">
        <f t="shared" si="3"/>
        <v>9.1827364554637278E-5</v>
      </c>
    </row>
    <row r="233" spans="1:2" x14ac:dyDescent="0.2">
      <c r="A233">
        <v>331</v>
      </c>
      <c r="B233">
        <f t="shared" si="3"/>
        <v>9.1273354569600492E-5</v>
      </c>
    </row>
    <row r="234" spans="1:2" x14ac:dyDescent="0.2">
      <c r="A234">
        <v>332</v>
      </c>
      <c r="B234">
        <f t="shared" si="3"/>
        <v>9.0724343155755555E-5</v>
      </c>
    </row>
    <row r="235" spans="1:2" x14ac:dyDescent="0.2">
      <c r="A235">
        <v>333</v>
      </c>
      <c r="B235">
        <f t="shared" si="3"/>
        <v>9.0180270360450547E-5</v>
      </c>
    </row>
    <row r="236" spans="1:2" x14ac:dyDescent="0.2">
      <c r="A236">
        <v>334</v>
      </c>
      <c r="B236">
        <f t="shared" si="3"/>
        <v>8.9641077127182765E-5</v>
      </c>
    </row>
    <row r="237" spans="1:2" x14ac:dyDescent="0.2">
      <c r="A237">
        <v>335</v>
      </c>
      <c r="B237">
        <f t="shared" si="3"/>
        <v>8.910670527957229E-5</v>
      </c>
    </row>
    <row r="238" spans="1:2" x14ac:dyDescent="0.2">
      <c r="A238">
        <v>336</v>
      </c>
      <c r="B238">
        <f t="shared" si="3"/>
        <v>8.8577097505668933E-5</v>
      </c>
    </row>
    <row r="239" spans="1:2" x14ac:dyDescent="0.2">
      <c r="A239">
        <v>337</v>
      </c>
      <c r="B239">
        <f t="shared" si="3"/>
        <v>8.8052197342584687E-5</v>
      </c>
    </row>
    <row r="240" spans="1:2" x14ac:dyDescent="0.2">
      <c r="A240">
        <v>338</v>
      </c>
      <c r="B240">
        <f t="shared" si="3"/>
        <v>8.7531949161443926E-5</v>
      </c>
    </row>
    <row r="241" spans="1:2" x14ac:dyDescent="0.2">
      <c r="A241">
        <v>339</v>
      </c>
      <c r="B241">
        <f t="shared" si="3"/>
        <v>8.7016298152643994E-5</v>
      </c>
    </row>
    <row r="242" spans="1:2" x14ac:dyDescent="0.2">
      <c r="A242">
        <v>340</v>
      </c>
      <c r="B242">
        <f t="shared" si="3"/>
        <v>8.6505190311418682E-5</v>
      </c>
    </row>
    <row r="243" spans="1:2" x14ac:dyDescent="0.2">
      <c r="A243">
        <v>341</v>
      </c>
      <c r="B243">
        <f t="shared" si="3"/>
        <v>8.5998572423697769E-5</v>
      </c>
    </row>
    <row r="244" spans="1:2" x14ac:dyDescent="0.2">
      <c r="A244">
        <v>342</v>
      </c>
      <c r="B244">
        <f t="shared" si="3"/>
        <v>8.5496392052255389E-5</v>
      </c>
    </row>
    <row r="245" spans="1:2" x14ac:dyDescent="0.2">
      <c r="A245">
        <v>343</v>
      </c>
      <c r="B245">
        <f t="shared" si="3"/>
        <v>8.4998597523140872E-5</v>
      </c>
    </row>
    <row r="246" spans="1:2" x14ac:dyDescent="0.2">
      <c r="A246">
        <v>344</v>
      </c>
      <c r="B246">
        <f t="shared" si="3"/>
        <v>8.4505137912385076E-5</v>
      </c>
    </row>
    <row r="247" spans="1:2" x14ac:dyDescent="0.2">
      <c r="A247">
        <v>345</v>
      </c>
      <c r="B247">
        <f t="shared" si="3"/>
        <v>8.4015963032976269E-5</v>
      </c>
    </row>
    <row r="248" spans="1:2" x14ac:dyDescent="0.2">
      <c r="A248">
        <v>346</v>
      </c>
      <c r="B248">
        <f t="shared" si="3"/>
        <v>8.3531023422098974E-5</v>
      </c>
    </row>
    <row r="249" spans="1:2" x14ac:dyDescent="0.2">
      <c r="A249">
        <v>347</v>
      </c>
      <c r="B249">
        <f t="shared" si="3"/>
        <v>8.3050270328629923E-5</v>
      </c>
    </row>
    <row r="250" spans="1:2" x14ac:dyDescent="0.2">
      <c r="A250">
        <v>348</v>
      </c>
      <c r="B250">
        <f t="shared" si="3"/>
        <v>8.2573655700885187E-5</v>
      </c>
    </row>
    <row r="251" spans="1:2" x14ac:dyDescent="0.2">
      <c r="A251">
        <v>349</v>
      </c>
      <c r="B251">
        <f t="shared" si="3"/>
        <v>8.2101132174612691E-5</v>
      </c>
    </row>
    <row r="252" spans="1:2" x14ac:dyDescent="0.2">
      <c r="A252">
        <v>350</v>
      </c>
      <c r="B252">
        <f t="shared" si="3"/>
        <v>8.163265306122449E-5</v>
      </c>
    </row>
    <row r="253" spans="1:2" x14ac:dyDescent="0.2">
      <c r="A253">
        <v>351</v>
      </c>
      <c r="B253">
        <f t="shared" si="3"/>
        <v>8.1168172336263498E-5</v>
      </c>
    </row>
    <row r="254" spans="1:2" x14ac:dyDescent="0.2">
      <c r="A254">
        <v>352</v>
      </c>
      <c r="B254">
        <f t="shared" si="3"/>
        <v>8.0707644628099176E-5</v>
      </c>
    </row>
    <row r="255" spans="1:2" x14ac:dyDescent="0.2">
      <c r="A255">
        <v>353</v>
      </c>
      <c r="B255">
        <f t="shared" si="3"/>
        <v>8.0251025206847014E-5</v>
      </c>
    </row>
    <row r="256" spans="1:2" x14ac:dyDescent="0.2">
      <c r="A256">
        <v>354</v>
      </c>
      <c r="B256">
        <f t="shared" si="3"/>
        <v>7.979826997350698E-5</v>
      </c>
    </row>
    <row r="257" spans="1:2" x14ac:dyDescent="0.2">
      <c r="A257">
        <v>355</v>
      </c>
      <c r="B257">
        <f t="shared" si="3"/>
        <v>7.9349335449315612E-5</v>
      </c>
    </row>
    <row r="258" spans="1:2" x14ac:dyDescent="0.2">
      <c r="A258">
        <v>356</v>
      </c>
      <c r="B258">
        <f t="shared" si="3"/>
        <v>7.8904178765307409E-5</v>
      </c>
    </row>
    <row r="259" spans="1:2" x14ac:dyDescent="0.2">
      <c r="A259">
        <v>357</v>
      </c>
      <c r="B259">
        <f t="shared" ref="B259:B322" si="4">10/A259^2</f>
        <v>7.8462757652080447E-5</v>
      </c>
    </row>
    <row r="260" spans="1:2" x14ac:dyDescent="0.2">
      <c r="A260">
        <v>358</v>
      </c>
      <c r="B260">
        <f t="shared" si="4"/>
        <v>7.8025030429761872E-5</v>
      </c>
    </row>
    <row r="261" spans="1:2" x14ac:dyDescent="0.2">
      <c r="A261">
        <v>359</v>
      </c>
      <c r="B261">
        <f t="shared" si="4"/>
        <v>7.759095599816886E-5</v>
      </c>
    </row>
    <row r="262" spans="1:2" x14ac:dyDescent="0.2">
      <c r="A262">
        <v>360</v>
      </c>
      <c r="B262">
        <f t="shared" si="4"/>
        <v>7.7160493827160492E-5</v>
      </c>
    </row>
    <row r="263" spans="1:2" x14ac:dyDescent="0.2">
      <c r="A263">
        <v>361</v>
      </c>
      <c r="B263">
        <f t="shared" si="4"/>
        <v>7.6733603947176584E-5</v>
      </c>
    </row>
    <row r="264" spans="1:2" x14ac:dyDescent="0.2">
      <c r="A264">
        <v>362</v>
      </c>
      <c r="B264">
        <f t="shared" si="4"/>
        <v>7.6310246939959101E-5</v>
      </c>
    </row>
    <row r="265" spans="1:2" x14ac:dyDescent="0.2">
      <c r="A265">
        <v>363</v>
      </c>
      <c r="B265">
        <f t="shared" si="4"/>
        <v>7.5890383929452297E-5</v>
      </c>
    </row>
    <row r="266" spans="1:2" x14ac:dyDescent="0.2">
      <c r="A266">
        <v>364</v>
      </c>
      <c r="B266">
        <f t="shared" si="4"/>
        <v>7.5473976572877673E-5</v>
      </c>
    </row>
    <row r="267" spans="1:2" x14ac:dyDescent="0.2">
      <c r="A267">
        <v>365</v>
      </c>
      <c r="B267">
        <f t="shared" si="4"/>
        <v>7.5060987051979732E-5</v>
      </c>
    </row>
    <row r="268" spans="1:2" x14ac:dyDescent="0.2">
      <c r="A268">
        <v>366</v>
      </c>
      <c r="B268">
        <f t="shared" si="4"/>
        <v>7.4651378064439063E-5</v>
      </c>
    </row>
    <row r="269" spans="1:2" x14ac:dyDescent="0.2">
      <c r="A269">
        <v>367</v>
      </c>
      <c r="B269">
        <f t="shared" si="4"/>
        <v>7.4245112815448923E-5</v>
      </c>
    </row>
    <row r="270" spans="1:2" x14ac:dyDescent="0.2">
      <c r="A270">
        <v>368</v>
      </c>
      <c r="B270">
        <f t="shared" si="4"/>
        <v>7.3842155009451796E-5</v>
      </c>
    </row>
    <row r="271" spans="1:2" x14ac:dyDescent="0.2">
      <c r="A271">
        <v>369</v>
      </c>
      <c r="B271">
        <f t="shared" si="4"/>
        <v>7.3442468842032599E-5</v>
      </c>
    </row>
    <row r="272" spans="1:2" x14ac:dyDescent="0.2">
      <c r="A272">
        <v>370</v>
      </c>
      <c r="B272">
        <f t="shared" si="4"/>
        <v>7.3046018991964934E-5</v>
      </c>
    </row>
    <row r="273" spans="1:2" x14ac:dyDescent="0.2">
      <c r="A273">
        <v>371</v>
      </c>
      <c r="B273">
        <f t="shared" si="4"/>
        <v>7.2652770613407337E-5</v>
      </c>
    </row>
    <row r="274" spans="1:2" x14ac:dyDescent="0.2">
      <c r="A274">
        <v>372</v>
      </c>
      <c r="B274">
        <f t="shared" si="4"/>
        <v>7.2262689328246035E-5</v>
      </c>
    </row>
    <row r="275" spans="1:2" x14ac:dyDescent="0.2">
      <c r="A275">
        <v>373</v>
      </c>
      <c r="B275">
        <f t="shared" si="4"/>
        <v>7.1875741218581317E-5</v>
      </c>
    </row>
    <row r="276" spans="1:2" x14ac:dyDescent="0.2">
      <c r="A276">
        <v>374</v>
      </c>
      <c r="B276">
        <f t="shared" si="4"/>
        <v>7.1491892819354279E-5</v>
      </c>
    </row>
    <row r="277" spans="1:2" x14ac:dyDescent="0.2">
      <c r="A277">
        <v>375</v>
      </c>
      <c r="B277">
        <f t="shared" si="4"/>
        <v>7.1111111111111106E-5</v>
      </c>
    </row>
    <row r="278" spans="1:2" x14ac:dyDescent="0.2">
      <c r="A278">
        <v>376</v>
      </c>
      <c r="B278">
        <f t="shared" si="4"/>
        <v>7.0733363512901761E-5</v>
      </c>
    </row>
    <row r="279" spans="1:2" x14ac:dyDescent="0.2">
      <c r="A279">
        <v>377</v>
      </c>
      <c r="B279">
        <f t="shared" si="4"/>
        <v>7.0358617875310452E-5</v>
      </c>
    </row>
    <row r="280" spans="1:2" x14ac:dyDescent="0.2">
      <c r="A280">
        <v>378</v>
      </c>
      <c r="B280">
        <f t="shared" si="4"/>
        <v>6.9986842473614963E-5</v>
      </c>
    </row>
    <row r="281" spans="1:2" x14ac:dyDescent="0.2">
      <c r="A281">
        <v>379</v>
      </c>
      <c r="B281">
        <f t="shared" si="4"/>
        <v>6.9618006001072113E-5</v>
      </c>
    </row>
    <row r="282" spans="1:2" x14ac:dyDescent="0.2">
      <c r="A282">
        <v>380</v>
      </c>
      <c r="B282">
        <f t="shared" si="4"/>
        <v>6.9252077562326875E-5</v>
      </c>
    </row>
    <row r="283" spans="1:2" x14ac:dyDescent="0.2">
      <c r="A283">
        <v>381</v>
      </c>
      <c r="B283">
        <f t="shared" si="4"/>
        <v>6.8889026666942225E-5</v>
      </c>
    </row>
    <row r="284" spans="1:2" x14ac:dyDescent="0.2">
      <c r="A284">
        <v>382</v>
      </c>
      <c r="B284">
        <f t="shared" si="4"/>
        <v>6.852882322304761E-5</v>
      </c>
    </row>
    <row r="285" spans="1:2" x14ac:dyDescent="0.2">
      <c r="A285">
        <v>383</v>
      </c>
      <c r="B285">
        <f t="shared" si="4"/>
        <v>6.8171437531103221E-5</v>
      </c>
    </row>
    <row r="286" spans="1:2" x14ac:dyDescent="0.2">
      <c r="A286">
        <v>384</v>
      </c>
      <c r="B286">
        <f t="shared" si="4"/>
        <v>6.7816840277777781E-5</v>
      </c>
    </row>
    <row r="287" spans="1:2" x14ac:dyDescent="0.2">
      <c r="A287">
        <v>385</v>
      </c>
      <c r="B287">
        <f t="shared" si="4"/>
        <v>6.7465002529937596E-5</v>
      </c>
    </row>
    <row r="288" spans="1:2" x14ac:dyDescent="0.2">
      <c r="A288">
        <v>386</v>
      </c>
      <c r="B288">
        <f t="shared" si="4"/>
        <v>6.7115895728744402E-5</v>
      </c>
    </row>
    <row r="289" spans="1:2" x14ac:dyDescent="0.2">
      <c r="A289">
        <v>387</v>
      </c>
      <c r="B289">
        <f t="shared" si="4"/>
        <v>6.6769491683859816E-5</v>
      </c>
    </row>
    <row r="290" spans="1:2" x14ac:dyDescent="0.2">
      <c r="A290">
        <v>388</v>
      </c>
      <c r="B290">
        <f t="shared" si="4"/>
        <v>6.6425762567754278E-5</v>
      </c>
    </row>
    <row r="291" spans="1:2" x14ac:dyDescent="0.2">
      <c r="A291">
        <v>389</v>
      </c>
      <c r="B291">
        <f t="shared" si="4"/>
        <v>6.6084680910118219E-5</v>
      </c>
    </row>
    <row r="292" spans="1:2" x14ac:dyDescent="0.2">
      <c r="A292">
        <v>390</v>
      </c>
      <c r="B292">
        <f t="shared" si="4"/>
        <v>6.5746219592373436E-5</v>
      </c>
    </row>
    <row r="293" spans="1:2" x14ac:dyDescent="0.2">
      <c r="A293">
        <v>391</v>
      </c>
      <c r="B293">
        <f t="shared" si="4"/>
        <v>6.5410351842282562E-5</v>
      </c>
    </row>
    <row r="294" spans="1:2" x14ac:dyDescent="0.2">
      <c r="A294">
        <v>392</v>
      </c>
      <c r="B294">
        <f t="shared" si="4"/>
        <v>6.5077051228654728E-5</v>
      </c>
    </row>
    <row r="295" spans="1:2" x14ac:dyDescent="0.2">
      <c r="A295">
        <v>393</v>
      </c>
      <c r="B295">
        <f t="shared" si="4"/>
        <v>6.4746291656145395E-5</v>
      </c>
    </row>
    <row r="296" spans="1:2" x14ac:dyDescent="0.2">
      <c r="A296">
        <v>394</v>
      </c>
      <c r="B296">
        <f t="shared" si="4"/>
        <v>6.4418047360148415E-5</v>
      </c>
    </row>
    <row r="297" spans="1:2" x14ac:dyDescent="0.2">
      <c r="A297">
        <v>395</v>
      </c>
      <c r="B297">
        <f t="shared" si="4"/>
        <v>6.4092292901778565E-5</v>
      </c>
    </row>
    <row r="298" spans="1:2" x14ac:dyDescent="0.2">
      <c r="A298">
        <v>396</v>
      </c>
      <c r="B298">
        <f t="shared" si="4"/>
        <v>6.3769003162942556E-5</v>
      </c>
    </row>
    <row r="299" spans="1:2" x14ac:dyDescent="0.2">
      <c r="A299">
        <v>397</v>
      </c>
      <c r="B299">
        <f t="shared" si="4"/>
        <v>6.3448153341496991E-5</v>
      </c>
    </row>
    <row r="300" spans="1:2" x14ac:dyDescent="0.2">
      <c r="A300">
        <v>398</v>
      </c>
      <c r="B300">
        <f t="shared" si="4"/>
        <v>6.3129718946491247E-5</v>
      </c>
    </row>
    <row r="301" spans="1:2" x14ac:dyDescent="0.2">
      <c r="A301">
        <v>399</v>
      </c>
      <c r="B301">
        <f t="shared" si="4"/>
        <v>6.2813675793493753E-5</v>
      </c>
    </row>
    <row r="302" spans="1:2" x14ac:dyDescent="0.2">
      <c r="A302">
        <v>400</v>
      </c>
      <c r="B302">
        <f t="shared" si="4"/>
        <v>6.2500000000000001E-5</v>
      </c>
    </row>
    <row r="303" spans="1:2" x14ac:dyDescent="0.2">
      <c r="A303">
        <v>401</v>
      </c>
      <c r="B303">
        <f t="shared" si="4"/>
        <v>6.2188667980920517E-5</v>
      </c>
    </row>
    <row r="304" spans="1:2" x14ac:dyDescent="0.2">
      <c r="A304">
        <v>402</v>
      </c>
      <c r="B304">
        <f t="shared" si="4"/>
        <v>6.1879656444147421E-5</v>
      </c>
    </row>
    <row r="305" spans="1:2" x14ac:dyDescent="0.2">
      <c r="A305">
        <v>403</v>
      </c>
      <c r="B305">
        <f t="shared" si="4"/>
        <v>6.1572942386197804E-5</v>
      </c>
    </row>
    <row r="306" spans="1:2" x14ac:dyDescent="0.2">
      <c r="A306">
        <v>404</v>
      </c>
      <c r="B306">
        <f t="shared" si="4"/>
        <v>6.1268503087932557E-5</v>
      </c>
    </row>
    <row r="307" spans="1:2" x14ac:dyDescent="0.2">
      <c r="A307">
        <v>405</v>
      </c>
      <c r="B307">
        <f t="shared" si="4"/>
        <v>6.096631611034903E-5</v>
      </c>
    </row>
    <row r="308" spans="1:2" x14ac:dyDescent="0.2">
      <c r="A308">
        <v>406</v>
      </c>
      <c r="B308">
        <f t="shared" si="4"/>
        <v>6.0666359290446263E-5</v>
      </c>
    </row>
    <row r="309" spans="1:2" x14ac:dyDescent="0.2">
      <c r="A309">
        <v>407</v>
      </c>
      <c r="B309">
        <f t="shared" si="4"/>
        <v>6.0368610737161103E-5</v>
      </c>
    </row>
    <row r="310" spans="1:2" x14ac:dyDescent="0.2">
      <c r="A310">
        <v>408</v>
      </c>
      <c r="B310">
        <f t="shared" si="4"/>
        <v>6.0073048827374089E-5</v>
      </c>
    </row>
    <row r="311" spans="1:2" x14ac:dyDescent="0.2">
      <c r="A311">
        <v>409</v>
      </c>
      <c r="B311">
        <f t="shared" si="4"/>
        <v>5.9779652201983492E-5</v>
      </c>
    </row>
    <row r="312" spans="1:2" x14ac:dyDescent="0.2">
      <c r="A312">
        <v>410</v>
      </c>
      <c r="B312">
        <f t="shared" si="4"/>
        <v>5.94883997620464E-5</v>
      </c>
    </row>
    <row r="313" spans="1:2" x14ac:dyDescent="0.2">
      <c r="A313">
        <v>411</v>
      </c>
      <c r="B313">
        <f t="shared" si="4"/>
        <v>5.9199270664985406E-5</v>
      </c>
    </row>
    <row r="314" spans="1:2" x14ac:dyDescent="0.2">
      <c r="A314">
        <v>412</v>
      </c>
      <c r="B314">
        <f t="shared" si="4"/>
        <v>5.8912244320859647E-5</v>
      </c>
    </row>
    <row r="315" spans="1:2" x14ac:dyDescent="0.2">
      <c r="A315">
        <v>413</v>
      </c>
      <c r="B315">
        <f t="shared" si="4"/>
        <v>5.8627300388699002E-5</v>
      </c>
    </row>
    <row r="316" spans="1:2" x14ac:dyDescent="0.2">
      <c r="A316">
        <v>414</v>
      </c>
      <c r="B316">
        <f t="shared" si="4"/>
        <v>5.8344418772900182E-5</v>
      </c>
    </row>
    <row r="317" spans="1:2" x14ac:dyDescent="0.2">
      <c r="A317">
        <v>415</v>
      </c>
      <c r="B317">
        <f t="shared" si="4"/>
        <v>5.8063579619683551E-5</v>
      </c>
    </row>
    <row r="318" spans="1:2" x14ac:dyDescent="0.2">
      <c r="A318">
        <v>416</v>
      </c>
      <c r="B318">
        <f t="shared" si="4"/>
        <v>5.7784763313609464E-5</v>
      </c>
    </row>
    <row r="319" spans="1:2" x14ac:dyDescent="0.2">
      <c r="A319">
        <v>417</v>
      </c>
      <c r="B319">
        <f t="shared" si="4"/>
        <v>5.7507950474153054E-5</v>
      </c>
    </row>
    <row r="320" spans="1:2" x14ac:dyDescent="0.2">
      <c r="A320">
        <v>418</v>
      </c>
      <c r="B320">
        <f t="shared" si="4"/>
        <v>5.7233121952336256E-5</v>
      </c>
    </row>
    <row r="321" spans="1:2" x14ac:dyDescent="0.2">
      <c r="A321">
        <v>419</v>
      </c>
      <c r="B321">
        <f t="shared" si="4"/>
        <v>5.6960258827416114E-5</v>
      </c>
    </row>
    <row r="322" spans="1:2" x14ac:dyDescent="0.2">
      <c r="A322">
        <v>420</v>
      </c>
      <c r="B322">
        <f t="shared" si="4"/>
        <v>5.6689342403628121E-5</v>
      </c>
    </row>
    <row r="323" spans="1:2" x14ac:dyDescent="0.2">
      <c r="A323">
        <v>421</v>
      </c>
      <c r="B323">
        <f t="shared" ref="B323:B386" si="5">10/A323^2</f>
        <v>5.6420354206983709E-5</v>
      </c>
    </row>
    <row r="324" spans="1:2" x14ac:dyDescent="0.2">
      <c r="A324">
        <v>422</v>
      </c>
      <c r="B324">
        <f t="shared" si="5"/>
        <v>5.6153275982120799E-5</v>
      </c>
    </row>
    <row r="325" spans="1:2" x14ac:dyDescent="0.2">
      <c r="A325">
        <v>423</v>
      </c>
      <c r="B325">
        <f t="shared" si="5"/>
        <v>5.5888089689206336E-5</v>
      </c>
    </row>
    <row r="326" spans="1:2" x14ac:dyDescent="0.2">
      <c r="A326">
        <v>424</v>
      </c>
      <c r="B326">
        <f t="shared" si="5"/>
        <v>5.5624777500889999E-5</v>
      </c>
    </row>
    <row r="327" spans="1:2" x14ac:dyDescent="0.2">
      <c r="A327">
        <v>425</v>
      </c>
      <c r="B327">
        <f t="shared" si="5"/>
        <v>5.5363321799307956E-5</v>
      </c>
    </row>
    <row r="328" spans="1:2" x14ac:dyDescent="0.2">
      <c r="A328">
        <v>426</v>
      </c>
      <c r="B328">
        <f t="shared" si="5"/>
        <v>5.5103705173135844E-5</v>
      </c>
    </row>
    <row r="329" spans="1:2" x14ac:dyDescent="0.2">
      <c r="A329">
        <v>427</v>
      </c>
      <c r="B329">
        <f t="shared" si="5"/>
        <v>5.4845910414689926E-5</v>
      </c>
    </row>
    <row r="330" spans="1:2" x14ac:dyDescent="0.2">
      <c r="A330">
        <v>428</v>
      </c>
      <c r="B330">
        <f t="shared" si="5"/>
        <v>5.4589920517075727E-5</v>
      </c>
    </row>
    <row r="331" spans="1:2" x14ac:dyDescent="0.2">
      <c r="A331">
        <v>429</v>
      </c>
      <c r="B331">
        <f t="shared" si="5"/>
        <v>5.4335718671383005E-5</v>
      </c>
    </row>
    <row r="332" spans="1:2" x14ac:dyDescent="0.2">
      <c r="A332">
        <v>430</v>
      </c>
      <c r="B332">
        <f t="shared" si="5"/>
        <v>5.4083288263926445E-5</v>
      </c>
    </row>
    <row r="333" spans="1:2" x14ac:dyDescent="0.2">
      <c r="A333">
        <v>431</v>
      </c>
      <c r="B333">
        <f t="shared" si="5"/>
        <v>5.3832612873531041E-5</v>
      </c>
    </row>
    <row r="334" spans="1:2" x14ac:dyDescent="0.2">
      <c r="A334">
        <v>432</v>
      </c>
      <c r="B334">
        <f t="shared" si="5"/>
        <v>5.3583676268861452E-5</v>
      </c>
    </row>
    <row r="335" spans="1:2" x14ac:dyDescent="0.2">
      <c r="A335">
        <v>433</v>
      </c>
      <c r="B335">
        <f t="shared" si="5"/>
        <v>5.3336462405794474E-5</v>
      </c>
    </row>
    <row r="336" spans="1:2" x14ac:dyDescent="0.2">
      <c r="A336">
        <v>434</v>
      </c>
      <c r="B336">
        <f t="shared" si="5"/>
        <v>5.3090955424833827E-5</v>
      </c>
    </row>
    <row r="337" spans="1:2" x14ac:dyDescent="0.2">
      <c r="A337">
        <v>435</v>
      </c>
      <c r="B337">
        <f t="shared" si="5"/>
        <v>5.2847139648566518E-5</v>
      </c>
    </row>
    <row r="338" spans="1:2" x14ac:dyDescent="0.2">
      <c r="A338">
        <v>436</v>
      </c>
      <c r="B338">
        <f t="shared" si="5"/>
        <v>5.2604999579160003E-5</v>
      </c>
    </row>
    <row r="339" spans="1:2" x14ac:dyDescent="0.2">
      <c r="A339">
        <v>437</v>
      </c>
      <c r="B339">
        <f t="shared" si="5"/>
        <v>5.2364519895899337E-5</v>
      </c>
    </row>
    <row r="340" spans="1:2" x14ac:dyDescent="0.2">
      <c r="A340">
        <v>438</v>
      </c>
      <c r="B340">
        <f t="shared" si="5"/>
        <v>5.2125685452763702E-5</v>
      </c>
    </row>
    <row r="341" spans="1:2" x14ac:dyDescent="0.2">
      <c r="A341">
        <v>439</v>
      </c>
      <c r="B341">
        <f t="shared" si="5"/>
        <v>5.188848127604153E-5</v>
      </c>
    </row>
    <row r="342" spans="1:2" x14ac:dyDescent="0.2">
      <c r="A342">
        <v>440</v>
      </c>
      <c r="B342">
        <f t="shared" si="5"/>
        <v>5.165289256198347E-5</v>
      </c>
    </row>
    <row r="343" spans="1:2" x14ac:dyDescent="0.2">
      <c r="A343">
        <v>441</v>
      </c>
      <c r="B343">
        <f t="shared" si="5"/>
        <v>5.1418904674492621E-5</v>
      </c>
    </row>
    <row r="344" spans="1:2" x14ac:dyDescent="0.2">
      <c r="A344">
        <v>442</v>
      </c>
      <c r="B344">
        <f t="shared" si="5"/>
        <v>5.118650314285129E-5</v>
      </c>
    </row>
    <row r="345" spans="1:2" x14ac:dyDescent="0.2">
      <c r="A345">
        <v>443</v>
      </c>
      <c r="B345">
        <f t="shared" si="5"/>
        <v>5.0955673659483614E-5</v>
      </c>
    </row>
    <row r="346" spans="1:2" x14ac:dyDescent="0.2">
      <c r="A346">
        <v>444</v>
      </c>
      <c r="B346">
        <f t="shared" si="5"/>
        <v>5.0726402077753432E-5</v>
      </c>
    </row>
    <row r="347" spans="1:2" x14ac:dyDescent="0.2">
      <c r="A347">
        <v>445</v>
      </c>
      <c r="B347">
        <f t="shared" si="5"/>
        <v>5.0498674409796743E-5</v>
      </c>
    </row>
    <row r="348" spans="1:2" x14ac:dyDescent="0.2">
      <c r="A348">
        <v>446</v>
      </c>
      <c r="B348">
        <f t="shared" si="5"/>
        <v>5.0272476824388183E-5</v>
      </c>
    </row>
    <row r="349" spans="1:2" x14ac:dyDescent="0.2">
      <c r="A349">
        <v>447</v>
      </c>
      <c r="B349">
        <f t="shared" si="5"/>
        <v>5.0047795644840821E-5</v>
      </c>
    </row>
    <row r="350" spans="1:2" x14ac:dyDescent="0.2">
      <c r="A350">
        <v>448</v>
      </c>
      <c r="B350">
        <f t="shared" si="5"/>
        <v>4.9824617346938777E-5</v>
      </c>
    </row>
    <row r="351" spans="1:2" x14ac:dyDescent="0.2">
      <c r="A351">
        <v>449</v>
      </c>
      <c r="B351">
        <f t="shared" si="5"/>
        <v>4.9602928556902E-5</v>
      </c>
    </row>
    <row r="352" spans="1:2" x14ac:dyDescent="0.2">
      <c r="A352">
        <v>450</v>
      </c>
      <c r="B352">
        <f t="shared" si="5"/>
        <v>4.9382716049382713E-5</v>
      </c>
    </row>
    <row r="353" spans="1:2" x14ac:dyDescent="0.2">
      <c r="A353">
        <v>451</v>
      </c>
      <c r="B353">
        <f t="shared" si="5"/>
        <v>4.9163966745492893E-5</v>
      </c>
    </row>
    <row r="354" spans="1:2" x14ac:dyDescent="0.2">
      <c r="A354">
        <v>452</v>
      </c>
      <c r="B354">
        <f t="shared" si="5"/>
        <v>4.8946667710862243E-5</v>
      </c>
    </row>
    <row r="355" spans="1:2" x14ac:dyDescent="0.2">
      <c r="A355">
        <v>453</v>
      </c>
      <c r="B355">
        <f t="shared" si="5"/>
        <v>4.8730806153726201E-5</v>
      </c>
    </row>
    <row r="356" spans="1:2" x14ac:dyDescent="0.2">
      <c r="A356">
        <v>454</v>
      </c>
      <c r="B356">
        <f t="shared" si="5"/>
        <v>4.8516369423043332E-5</v>
      </c>
    </row>
    <row r="357" spans="1:2" x14ac:dyDescent="0.2">
      <c r="A357">
        <v>455</v>
      </c>
      <c r="B357">
        <f t="shared" si="5"/>
        <v>4.8303345006641713E-5</v>
      </c>
    </row>
    <row r="358" spans="1:2" x14ac:dyDescent="0.2">
      <c r="A358">
        <v>456</v>
      </c>
      <c r="B358">
        <f t="shared" si="5"/>
        <v>4.8091720529393661E-5</v>
      </c>
    </row>
    <row r="359" spans="1:2" x14ac:dyDescent="0.2">
      <c r="A359">
        <v>457</v>
      </c>
      <c r="B359">
        <f t="shared" si="5"/>
        <v>4.7881483751418492E-5</v>
      </c>
    </row>
    <row r="360" spans="1:2" x14ac:dyDescent="0.2">
      <c r="A360">
        <v>458</v>
      </c>
      <c r="B360">
        <f t="shared" si="5"/>
        <v>4.7672622566312617E-5</v>
      </c>
    </row>
    <row r="361" spans="1:2" x14ac:dyDescent="0.2">
      <c r="A361">
        <v>459</v>
      </c>
      <c r="B361">
        <f t="shared" si="5"/>
        <v>4.7465124999406686E-5</v>
      </c>
    </row>
    <row r="362" spans="1:2" x14ac:dyDescent="0.2">
      <c r="A362">
        <v>460</v>
      </c>
      <c r="B362">
        <f t="shared" si="5"/>
        <v>4.7258979206049152E-5</v>
      </c>
    </row>
    <row r="363" spans="1:2" x14ac:dyDescent="0.2">
      <c r="A363">
        <v>461</v>
      </c>
      <c r="B363">
        <f t="shared" si="5"/>
        <v>4.7054173469915916E-5</v>
      </c>
    </row>
    <row r="364" spans="1:2" x14ac:dyDescent="0.2">
      <c r="A364">
        <v>462</v>
      </c>
      <c r="B364">
        <f t="shared" si="5"/>
        <v>4.685069620134555E-5</v>
      </c>
    </row>
    <row r="365" spans="1:2" x14ac:dyDescent="0.2">
      <c r="A365">
        <v>463</v>
      </c>
      <c r="B365">
        <f t="shared" si="5"/>
        <v>4.664853593569966E-5</v>
      </c>
    </row>
    <row r="366" spans="1:2" x14ac:dyDescent="0.2">
      <c r="A366">
        <v>464</v>
      </c>
      <c r="B366">
        <f t="shared" si="5"/>
        <v>4.6447681331747922E-5</v>
      </c>
    </row>
    <row r="367" spans="1:2" x14ac:dyDescent="0.2">
      <c r="A367">
        <v>465</v>
      </c>
      <c r="B367">
        <f t="shared" si="5"/>
        <v>4.6248121170077466E-5</v>
      </c>
    </row>
    <row r="368" spans="1:2" x14ac:dyDescent="0.2">
      <c r="A368">
        <v>466</v>
      </c>
      <c r="B368">
        <f t="shared" si="5"/>
        <v>4.6049844351526094E-5</v>
      </c>
    </row>
    <row r="369" spans="1:2" x14ac:dyDescent="0.2">
      <c r="A369">
        <v>467</v>
      </c>
      <c r="B369">
        <f t="shared" si="5"/>
        <v>4.5852839895638939E-5</v>
      </c>
    </row>
    <row r="370" spans="1:2" x14ac:dyDescent="0.2">
      <c r="A370">
        <v>468</v>
      </c>
      <c r="B370">
        <f t="shared" si="5"/>
        <v>4.5657096939148223E-5</v>
      </c>
    </row>
    <row r="371" spans="1:2" x14ac:dyDescent="0.2">
      <c r="A371">
        <v>469</v>
      </c>
      <c r="B371">
        <f t="shared" si="5"/>
        <v>4.5462604734475657E-5</v>
      </c>
    </row>
    <row r="372" spans="1:2" x14ac:dyDescent="0.2">
      <c r="A372">
        <v>470</v>
      </c>
      <c r="B372">
        <f t="shared" si="5"/>
        <v>4.526935264825713E-5</v>
      </c>
    </row>
    <row r="373" spans="1:2" x14ac:dyDescent="0.2">
      <c r="A373">
        <v>471</v>
      </c>
      <c r="B373">
        <f t="shared" si="5"/>
        <v>4.5077330159889292E-5</v>
      </c>
    </row>
    <row r="374" spans="1:2" x14ac:dyDescent="0.2">
      <c r="A374">
        <v>472</v>
      </c>
      <c r="B374">
        <f t="shared" si="5"/>
        <v>4.4886526860097674E-5</v>
      </c>
    </row>
    <row r="375" spans="1:2" x14ac:dyDescent="0.2">
      <c r="A375">
        <v>473</v>
      </c>
      <c r="B375">
        <f t="shared" si="5"/>
        <v>4.4696932449525992E-5</v>
      </c>
    </row>
    <row r="376" spans="1:2" x14ac:dyDescent="0.2">
      <c r="A376">
        <v>474</v>
      </c>
      <c r="B376">
        <f t="shared" si="5"/>
        <v>4.450853673734622E-5</v>
      </c>
    </row>
    <row r="377" spans="1:2" x14ac:dyDescent="0.2">
      <c r="A377">
        <v>475</v>
      </c>
      <c r="B377">
        <f t="shared" si="5"/>
        <v>4.4321329639889195E-5</v>
      </c>
    </row>
    <row r="378" spans="1:2" x14ac:dyDescent="0.2">
      <c r="A378">
        <v>476</v>
      </c>
      <c r="B378">
        <f t="shared" si="5"/>
        <v>4.4135301179295245E-5</v>
      </c>
    </row>
    <row r="379" spans="1:2" x14ac:dyDescent="0.2">
      <c r="A379">
        <v>477</v>
      </c>
      <c r="B379">
        <f t="shared" si="5"/>
        <v>4.395044148218469E-5</v>
      </c>
    </row>
    <row r="380" spans="1:2" x14ac:dyDescent="0.2">
      <c r="A380">
        <v>478</v>
      </c>
      <c r="B380">
        <f t="shared" si="5"/>
        <v>4.3766740778347715E-5</v>
      </c>
    </row>
    <row r="381" spans="1:2" x14ac:dyDescent="0.2">
      <c r="A381">
        <v>479</v>
      </c>
      <c r="B381">
        <f t="shared" si="5"/>
        <v>4.3584189399453452E-5</v>
      </c>
    </row>
    <row r="382" spans="1:2" x14ac:dyDescent="0.2">
      <c r="A382">
        <v>480</v>
      </c>
      <c r="B382">
        <f t="shared" si="5"/>
        <v>4.3402777777777779E-5</v>
      </c>
    </row>
    <row r="383" spans="1:2" x14ac:dyDescent="0.2">
      <c r="A383">
        <v>481</v>
      </c>
      <c r="B383">
        <f t="shared" si="5"/>
        <v>4.3222496444949671E-5</v>
      </c>
    </row>
    <row r="384" spans="1:2" x14ac:dyDescent="0.2">
      <c r="A384">
        <v>482</v>
      </c>
      <c r="B384">
        <f t="shared" si="5"/>
        <v>4.3043336030715726E-5</v>
      </c>
    </row>
    <row r="385" spans="1:2" x14ac:dyDescent="0.2">
      <c r="A385">
        <v>483</v>
      </c>
      <c r="B385">
        <f t="shared" si="5"/>
        <v>4.2865287261722585E-5</v>
      </c>
    </row>
    <row r="386" spans="1:2" x14ac:dyDescent="0.2">
      <c r="A386">
        <v>484</v>
      </c>
      <c r="B386">
        <f t="shared" si="5"/>
        <v>4.2688340960316921E-5</v>
      </c>
    </row>
    <row r="387" spans="1:2" x14ac:dyDescent="0.2">
      <c r="A387">
        <v>485</v>
      </c>
      <c r="B387">
        <f t="shared" ref="B387:B402" si="6">10/A387^2</f>
        <v>4.2512488043362738E-5</v>
      </c>
    </row>
    <row r="388" spans="1:2" x14ac:dyDescent="0.2">
      <c r="A388">
        <v>486</v>
      </c>
      <c r="B388">
        <f t="shared" si="6"/>
        <v>4.2337719521075714E-5</v>
      </c>
    </row>
    <row r="389" spans="1:2" x14ac:dyDescent="0.2">
      <c r="A389">
        <v>487</v>
      </c>
      <c r="B389">
        <f t="shared" si="6"/>
        <v>4.2164026495874252E-5</v>
      </c>
    </row>
    <row r="390" spans="1:2" x14ac:dyDescent="0.2">
      <c r="A390">
        <v>488</v>
      </c>
      <c r="B390">
        <f t="shared" si="6"/>
        <v>4.1991400161246978E-5</v>
      </c>
    </row>
    <row r="391" spans="1:2" x14ac:dyDescent="0.2">
      <c r="A391">
        <v>489</v>
      </c>
      <c r="B391">
        <f t="shared" si="6"/>
        <v>4.1819831800636501E-5</v>
      </c>
    </row>
    <row r="392" spans="1:2" x14ac:dyDescent="0.2">
      <c r="A392">
        <v>490</v>
      </c>
      <c r="B392">
        <f t="shared" si="6"/>
        <v>4.1649312786339026E-5</v>
      </c>
    </row>
    <row r="393" spans="1:2" x14ac:dyDescent="0.2">
      <c r="A393">
        <v>491</v>
      </c>
      <c r="B393">
        <f t="shared" si="6"/>
        <v>4.1479834578419699E-5</v>
      </c>
    </row>
    <row r="394" spans="1:2" x14ac:dyDescent="0.2">
      <c r="A394">
        <v>492</v>
      </c>
      <c r="B394">
        <f t="shared" si="6"/>
        <v>4.1311388723643333E-5</v>
      </c>
    </row>
    <row r="395" spans="1:2" x14ac:dyDescent="0.2">
      <c r="A395">
        <v>493</v>
      </c>
      <c r="B395">
        <f t="shared" si="6"/>
        <v>4.1143966854420299E-5</v>
      </c>
    </row>
    <row r="396" spans="1:2" x14ac:dyDescent="0.2">
      <c r="A396">
        <v>494</v>
      </c>
      <c r="B396">
        <f t="shared" si="6"/>
        <v>4.0977560687767378E-5</v>
      </c>
    </row>
    <row r="397" spans="1:2" x14ac:dyDescent="0.2">
      <c r="A397">
        <v>495</v>
      </c>
      <c r="B397">
        <f t="shared" si="6"/>
        <v>4.0812162024283233E-5</v>
      </c>
    </row>
    <row r="398" spans="1:2" x14ac:dyDescent="0.2">
      <c r="A398">
        <v>496</v>
      </c>
      <c r="B398">
        <f t="shared" si="6"/>
        <v>4.0647762747138398E-5</v>
      </c>
    </row>
    <row r="399" spans="1:2" x14ac:dyDescent="0.2">
      <c r="A399">
        <v>497</v>
      </c>
      <c r="B399">
        <f t="shared" si="6"/>
        <v>4.0484354821079393E-5</v>
      </c>
    </row>
    <row r="400" spans="1:2" x14ac:dyDescent="0.2">
      <c r="A400">
        <v>498</v>
      </c>
      <c r="B400">
        <f t="shared" si="6"/>
        <v>4.0321930291446913E-5</v>
      </c>
    </row>
    <row r="401" spans="1:2" x14ac:dyDescent="0.2">
      <c r="A401">
        <v>499</v>
      </c>
      <c r="B401">
        <f t="shared" si="6"/>
        <v>4.01604812832077E-5</v>
      </c>
    </row>
    <row r="402" spans="1:2" x14ac:dyDescent="0.2">
      <c r="A402">
        <v>500</v>
      </c>
      <c r="B402">
        <f t="shared" si="6"/>
        <v>4.0000000000000003E-5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4ECC9-5272-5643-99F0-0B2592816B67}">
  <sheetPr codeName="Sheet3"/>
  <dimension ref="A1:H157"/>
  <sheetViews>
    <sheetView zoomScaleNormal="100" workbookViewId="0">
      <selection activeCell="F3" sqref="F3"/>
    </sheetView>
  </sheetViews>
  <sheetFormatPr baseColWidth="10" defaultColWidth="11" defaultRowHeight="16" x14ac:dyDescent="0.2"/>
  <cols>
    <col min="1" max="1" width="11.5" bestFit="1" customWidth="1"/>
    <col min="2" max="2" width="10.33203125" bestFit="1" customWidth="1"/>
    <col min="3" max="3" width="12.1640625" bestFit="1" customWidth="1"/>
    <col min="4" max="4" width="8" customWidth="1"/>
    <col min="5" max="5" width="12.83203125" bestFit="1" customWidth="1"/>
    <col min="6" max="7" width="12.1640625" bestFit="1" customWidth="1"/>
  </cols>
  <sheetData>
    <row r="1" spans="1:7" x14ac:dyDescent="0.2">
      <c r="A1" s="3" t="s">
        <v>2</v>
      </c>
      <c r="B1" s="3" t="s">
        <v>3</v>
      </c>
      <c r="C1" s="3" t="s">
        <v>4</v>
      </c>
      <c r="D1" s="3" t="s">
        <v>5</v>
      </c>
      <c r="E1" s="3" t="s">
        <v>6</v>
      </c>
      <c r="F1" s="3" t="s">
        <v>7</v>
      </c>
      <c r="G1" s="3" t="s">
        <v>8</v>
      </c>
    </row>
    <row r="2" spans="1:7" x14ac:dyDescent="0.2">
      <c r="A2" s="2">
        <v>0</v>
      </c>
      <c r="B2" s="2">
        <f>A2+273.15</f>
        <v>273.14999999999998</v>
      </c>
      <c r="C2" s="2">
        <f>B2*$B$24</f>
        <v>81439.672499999986</v>
      </c>
      <c r="D2" s="2">
        <f>$B$24-B2</f>
        <v>25</v>
      </c>
      <c r="E2" s="2">
        <f>D2 / C2</f>
        <v>3.0697569418639307E-4</v>
      </c>
      <c r="F2" s="2">
        <f>300*(EXP(((ABS($B$25)/$B$27))*E2))</f>
        <v>4836.2645193609796</v>
      </c>
      <c r="G2" s="2">
        <f>F2/(1+F2)</f>
        <v>0.99979327159058651</v>
      </c>
    </row>
    <row r="3" spans="1:7" x14ac:dyDescent="0.2">
      <c r="A3" s="2">
        <v>5</v>
      </c>
      <c r="B3" s="2">
        <f t="shared" ref="B3:B22" si="0">A3+273.15</f>
        <v>278.14999999999998</v>
      </c>
      <c r="C3" s="2">
        <f t="shared" ref="C3:C22" si="1">B3*$B$24</f>
        <v>82930.422499999986</v>
      </c>
      <c r="D3" s="2">
        <f t="shared" ref="D3:D22" si="2">$B$24-B3</f>
        <v>20</v>
      </c>
      <c r="E3" s="2">
        <f t="shared" ref="E3:E22" si="3">D3 / C3</f>
        <v>2.4116602082908722E-4</v>
      </c>
      <c r="F3" s="2">
        <f t="shared" ref="F3:F22" si="4">300*(EXP(((ABS($B$25)/$B$27))*E3))</f>
        <v>2664.8278358234252</v>
      </c>
      <c r="G3" s="2">
        <f t="shared" ref="G3:G22" si="5">F3/(1+F3)</f>
        <v>0.99962488200229516</v>
      </c>
    </row>
    <row r="4" spans="1:7" x14ac:dyDescent="0.2">
      <c r="A4" s="2">
        <v>10</v>
      </c>
      <c r="B4" s="2">
        <f t="shared" si="0"/>
        <v>283.14999999999998</v>
      </c>
      <c r="C4" s="2">
        <f>B4*$B$24</f>
        <v>84421.172499999986</v>
      </c>
      <c r="D4" s="2">
        <f t="shared" si="2"/>
        <v>15</v>
      </c>
      <c r="E4" s="2">
        <f t="shared" si="3"/>
        <v>1.7768054571855186E-4</v>
      </c>
      <c r="F4" s="2">
        <f t="shared" si="4"/>
        <v>1499.5803527179369</v>
      </c>
      <c r="G4" s="2">
        <f t="shared" si="5"/>
        <v>0.99933359116811793</v>
      </c>
    </row>
    <row r="5" spans="1:7" x14ac:dyDescent="0.2">
      <c r="A5" s="2">
        <v>15</v>
      </c>
      <c r="B5" s="2">
        <f t="shared" si="0"/>
        <v>288.14999999999998</v>
      </c>
      <c r="C5" s="2">
        <f t="shared" si="1"/>
        <v>85911.922499999986</v>
      </c>
      <c r="D5" s="2">
        <f t="shared" si="2"/>
        <v>10</v>
      </c>
      <c r="E5" s="2">
        <f t="shared" si="3"/>
        <v>1.1639827987785981E-4</v>
      </c>
      <c r="F5" s="2">
        <f t="shared" si="4"/>
        <v>860.86674696697833</v>
      </c>
      <c r="G5" s="2">
        <f t="shared" si="5"/>
        <v>0.99883972783087505</v>
      </c>
    </row>
    <row r="6" spans="1:7" x14ac:dyDescent="0.2">
      <c r="A6" s="2">
        <v>20</v>
      </c>
      <c r="B6" s="2">
        <f t="shared" si="0"/>
        <v>293.14999999999998</v>
      </c>
      <c r="C6" s="2">
        <f t="shared" si="1"/>
        <v>87402.672499999986</v>
      </c>
      <c r="D6" s="2">
        <f t="shared" si="2"/>
        <v>5</v>
      </c>
      <c r="E6" s="2">
        <f t="shared" si="3"/>
        <v>5.7206488737515445E-5</v>
      </c>
      <c r="F6" s="2">
        <f t="shared" si="4"/>
        <v>503.64476458065349</v>
      </c>
      <c r="G6" s="2">
        <f t="shared" si="5"/>
        <v>0.99801840805614828</v>
      </c>
    </row>
    <row r="7" spans="1:7" x14ac:dyDescent="0.2">
      <c r="A7" s="1">
        <v>25</v>
      </c>
      <c r="B7" s="1">
        <f>A7+273.15</f>
        <v>298.14999999999998</v>
      </c>
      <c r="C7" s="1">
        <f>B7*$B$24</f>
        <v>88893.422499999986</v>
      </c>
      <c r="D7" s="1">
        <f t="shared" si="2"/>
        <v>0</v>
      </c>
      <c r="E7" s="1">
        <f>D7 / C7</f>
        <v>0</v>
      </c>
      <c r="F7" s="1">
        <f t="shared" si="4"/>
        <v>300</v>
      </c>
      <c r="G7" s="1">
        <f t="shared" si="5"/>
        <v>0.99667774086378735</v>
      </c>
    </row>
    <row r="8" spans="1:7" x14ac:dyDescent="0.2">
      <c r="A8" s="2">
        <v>30</v>
      </c>
      <c r="B8" s="2">
        <f t="shared" si="0"/>
        <v>303.14999999999998</v>
      </c>
      <c r="C8" s="2">
        <f t="shared" si="1"/>
        <v>90384.172499999986</v>
      </c>
      <c r="D8" s="2">
        <f t="shared" si="2"/>
        <v>-5</v>
      </c>
      <c r="E8" s="2">
        <f t="shared" si="3"/>
        <v>-5.5319420001328228E-5</v>
      </c>
      <c r="F8" s="2">
        <f t="shared" si="4"/>
        <v>181.77759581954328</v>
      </c>
      <c r="G8" s="2">
        <f t="shared" si="5"/>
        <v>0.99452886993334078</v>
      </c>
    </row>
    <row r="9" spans="1:7" x14ac:dyDescent="0.2">
      <c r="A9" s="2">
        <v>35</v>
      </c>
      <c r="B9" s="2">
        <f t="shared" si="0"/>
        <v>308.14999999999998</v>
      </c>
      <c r="C9" s="2">
        <f t="shared" si="1"/>
        <v>91874.922499999986</v>
      </c>
      <c r="D9" s="2">
        <f t="shared" si="2"/>
        <v>-10</v>
      </c>
      <c r="E9" s="2">
        <f t="shared" si="3"/>
        <v>-1.0884362922863964E-4</v>
      </c>
      <c r="F9" s="2">
        <f t="shared" si="4"/>
        <v>111.94902919684331</v>
      </c>
      <c r="G9" s="2">
        <f t="shared" si="5"/>
        <v>0.9911464489149594</v>
      </c>
    </row>
    <row r="10" spans="1:7" x14ac:dyDescent="0.2">
      <c r="A10" s="2">
        <v>40</v>
      </c>
      <c r="B10" s="2">
        <f t="shared" si="0"/>
        <v>313.14999999999998</v>
      </c>
      <c r="C10" s="2">
        <f t="shared" si="1"/>
        <v>93365.672499999986</v>
      </c>
      <c r="D10" s="2">
        <f t="shared" si="2"/>
        <v>-15</v>
      </c>
      <c r="E10" s="2">
        <f t="shared" si="3"/>
        <v>-1.6065861893727594E-4</v>
      </c>
      <c r="F10" s="2">
        <f t="shared" si="4"/>
        <v>70.020138595077114</v>
      </c>
      <c r="G10" s="2">
        <f t="shared" si="5"/>
        <v>0.98591948678526919</v>
      </c>
    </row>
    <row r="11" spans="1:7" x14ac:dyDescent="0.2">
      <c r="A11" s="2">
        <v>45</v>
      </c>
      <c r="B11" s="2">
        <f t="shared" si="0"/>
        <v>318.14999999999998</v>
      </c>
      <c r="C11" s="2">
        <f t="shared" si="1"/>
        <v>94856.422499999986</v>
      </c>
      <c r="D11" s="2">
        <f t="shared" si="2"/>
        <v>-20</v>
      </c>
      <c r="E11" s="2">
        <f t="shared" si="3"/>
        <v>-2.108449746773868E-4</v>
      </c>
      <c r="F11" s="2">
        <f t="shared" si="4"/>
        <v>44.445858669198415</v>
      </c>
      <c r="G11" s="2">
        <f t="shared" si="5"/>
        <v>0.97799579479223786</v>
      </c>
    </row>
    <row r="12" spans="1:7" x14ac:dyDescent="0.2">
      <c r="A12" s="2">
        <v>50</v>
      </c>
      <c r="B12" s="2">
        <f t="shared" si="0"/>
        <v>323.14999999999998</v>
      </c>
      <c r="C12" s="2">
        <f t="shared" si="1"/>
        <v>96347.172499999986</v>
      </c>
      <c r="D12" s="2">
        <f t="shared" si="2"/>
        <v>-25</v>
      </c>
      <c r="E12" s="2">
        <f t="shared" si="3"/>
        <v>-2.5947829449795223E-4</v>
      </c>
      <c r="F12" s="2">
        <f t="shared" si="4"/>
        <v>28.61198549438442</v>
      </c>
      <c r="G12" s="2">
        <f t="shared" si="5"/>
        <v>0.96622989025205219</v>
      </c>
    </row>
    <row r="13" spans="1:7" x14ac:dyDescent="0.2">
      <c r="A13" s="2">
        <v>55</v>
      </c>
      <c r="B13" s="2">
        <f t="shared" si="0"/>
        <v>328.15</v>
      </c>
      <c r="C13" s="2">
        <f t="shared" si="1"/>
        <v>97837.922499999986</v>
      </c>
      <c r="D13" s="2">
        <f t="shared" si="2"/>
        <v>-30</v>
      </c>
      <c r="E13" s="2">
        <f t="shared" si="3"/>
        <v>-3.0662956891792139E-4</v>
      </c>
      <c r="F13" s="2">
        <f t="shared" si="4"/>
        <v>18.667829847664873</v>
      </c>
      <c r="G13" s="2">
        <f t="shared" si="5"/>
        <v>0.94915554955755688</v>
      </c>
    </row>
    <row r="14" spans="1:7" x14ac:dyDescent="0.2">
      <c r="A14" s="2">
        <v>60</v>
      </c>
      <c r="B14" s="2">
        <f t="shared" si="0"/>
        <v>333.15</v>
      </c>
      <c r="C14" s="2">
        <f t="shared" si="1"/>
        <v>99328.672499999986</v>
      </c>
      <c r="D14" s="2">
        <f t="shared" si="2"/>
        <v>-35</v>
      </c>
      <c r="E14" s="2">
        <f t="shared" si="3"/>
        <v>-3.5236552668113034E-4</v>
      </c>
      <c r="F14" s="2">
        <f t="shared" si="4"/>
        <v>12.336908902665115</v>
      </c>
      <c r="G14" s="2">
        <f t="shared" si="5"/>
        <v>0.92502010718539363</v>
      </c>
    </row>
    <row r="15" spans="1:7" x14ac:dyDescent="0.2">
      <c r="A15" s="2">
        <v>65</v>
      </c>
      <c r="B15" s="2">
        <f t="shared" si="0"/>
        <v>338.15</v>
      </c>
      <c r="C15" s="2">
        <f t="shared" si="1"/>
        <v>100819.42249999999</v>
      </c>
      <c r="D15" s="2">
        <f t="shared" si="2"/>
        <v>-40</v>
      </c>
      <c r="E15" s="2">
        <f t="shared" si="3"/>
        <v>-3.9674894983652583E-4</v>
      </c>
      <c r="F15" s="2">
        <f t="shared" si="4"/>
        <v>8.2535091254979225</v>
      </c>
      <c r="G15" s="2">
        <f t="shared" si="5"/>
        <v>0.89193288876275989</v>
      </c>
    </row>
    <row r="16" spans="1:7" x14ac:dyDescent="0.2">
      <c r="A16" s="2">
        <v>70</v>
      </c>
      <c r="B16" s="2">
        <f t="shared" si="0"/>
        <v>343.15</v>
      </c>
      <c r="C16" s="2">
        <f t="shared" si="1"/>
        <v>102310.17249999999</v>
      </c>
      <c r="D16" s="2">
        <f t="shared" si="2"/>
        <v>-45</v>
      </c>
      <c r="E16" s="2">
        <f t="shared" si="3"/>
        <v>-4.3983896127239942E-4</v>
      </c>
      <c r="F16" s="2">
        <f t="shared" si="4"/>
        <v>5.5867357121132546</v>
      </c>
      <c r="G16" s="2">
        <f t="shared" si="5"/>
        <v>0.84817972912425155</v>
      </c>
    </row>
    <row r="17" spans="1:7" x14ac:dyDescent="0.2">
      <c r="A17" s="6">
        <v>75</v>
      </c>
      <c r="B17" s="6">
        <f t="shared" si="0"/>
        <v>348.15</v>
      </c>
      <c r="C17" s="6">
        <f t="shared" si="1"/>
        <v>103800.92249999999</v>
      </c>
      <c r="D17" s="6">
        <f t="shared" si="2"/>
        <v>-50</v>
      </c>
      <c r="E17" s="6">
        <f t="shared" si="3"/>
        <v>-4.8169128747386618E-4</v>
      </c>
      <c r="F17" s="6">
        <f t="shared" si="4"/>
        <v>3.8242444882136044</v>
      </c>
      <c r="G17" s="6">
        <f t="shared" si="5"/>
        <v>0.79271365652318015</v>
      </c>
    </row>
    <row r="18" spans="1:7" x14ac:dyDescent="0.2">
      <c r="A18" s="2">
        <v>80</v>
      </c>
      <c r="B18" s="2">
        <f t="shared" si="0"/>
        <v>353.15</v>
      </c>
      <c r="C18" s="2">
        <f t="shared" si="1"/>
        <v>105291.67249999999</v>
      </c>
      <c r="D18" s="2">
        <f t="shared" si="2"/>
        <v>-55</v>
      </c>
      <c r="E18" s="2">
        <f t="shared" si="3"/>
        <v>-5.2235849895916511E-4</v>
      </c>
      <c r="F18" s="2">
        <f t="shared" si="4"/>
        <v>2.6460279915792695</v>
      </c>
      <c r="G18" s="2">
        <f t="shared" si="5"/>
        <v>0.72572892958870239</v>
      </c>
    </row>
    <row r="19" spans="1:7" x14ac:dyDescent="0.2">
      <c r="A19" s="2">
        <v>85</v>
      </c>
      <c r="B19" s="2">
        <f t="shared" si="0"/>
        <v>358.15</v>
      </c>
      <c r="C19" s="2">
        <f t="shared" si="1"/>
        <v>106782.42249999999</v>
      </c>
      <c r="D19" s="2">
        <f t="shared" si="2"/>
        <v>-60</v>
      </c>
      <c r="E19" s="2">
        <f t="shared" si="3"/>
        <v>-5.6189023057610444E-4</v>
      </c>
      <c r="F19" s="2">
        <f t="shared" si="4"/>
        <v>1.8497339117140279</v>
      </c>
      <c r="G19" s="2">
        <f t="shared" si="5"/>
        <v>0.64909004455137687</v>
      </c>
    </row>
    <row r="20" spans="1:7" x14ac:dyDescent="0.2">
      <c r="A20" s="2">
        <v>90</v>
      </c>
      <c r="B20" s="2">
        <f t="shared" si="0"/>
        <v>363.15</v>
      </c>
      <c r="C20" s="2">
        <f t="shared" si="1"/>
        <v>108273.17249999999</v>
      </c>
      <c r="D20" s="2">
        <f t="shared" si="2"/>
        <v>-65</v>
      </c>
      <c r="E20" s="2">
        <f t="shared" si="3"/>
        <v>-6.0033338359970938E-4</v>
      </c>
      <c r="F20" s="2">
        <f t="shared" si="4"/>
        <v>1.3058871611710321</v>
      </c>
      <c r="G20" s="2">
        <f t="shared" si="5"/>
        <v>0.56632743490702486</v>
      </c>
    </row>
    <row r="21" spans="1:7" x14ac:dyDescent="0.2">
      <c r="A21" s="2">
        <v>95</v>
      </c>
      <c r="B21" s="2">
        <f t="shared" si="0"/>
        <v>368.15</v>
      </c>
      <c r="C21" s="2">
        <f t="shared" si="1"/>
        <v>109763.92249999999</v>
      </c>
      <c r="D21" s="2">
        <f t="shared" si="2"/>
        <v>-70</v>
      </c>
      <c r="E21" s="2">
        <f t="shared" si="3"/>
        <v>-6.3773231136123086E-4</v>
      </c>
      <c r="F21" s="2">
        <f t="shared" si="4"/>
        <v>0.93069882397542958</v>
      </c>
      <c r="G21" s="2">
        <f t="shared" si="5"/>
        <v>0.48205282585663073</v>
      </c>
    </row>
    <row r="22" spans="1:7" x14ac:dyDescent="0.2">
      <c r="A22" s="2">
        <v>100</v>
      </c>
      <c r="B22" s="2">
        <f t="shared" si="0"/>
        <v>373.15</v>
      </c>
      <c r="C22" s="2">
        <f t="shared" si="1"/>
        <v>111254.67249999999</v>
      </c>
      <c r="D22" s="2">
        <f t="shared" si="2"/>
        <v>-75</v>
      </c>
      <c r="E22" s="2">
        <f t="shared" si="3"/>
        <v>-6.7412898995320857E-4</v>
      </c>
      <c r="F22" s="2">
        <f t="shared" si="4"/>
        <v>0.66935220506988857</v>
      </c>
      <c r="G22" s="2">
        <f t="shared" si="5"/>
        <v>0.40096523851410115</v>
      </c>
    </row>
    <row r="24" spans="1:7" x14ac:dyDescent="0.2">
      <c r="A24" s="4" t="s">
        <v>9</v>
      </c>
      <c r="B24" s="5">
        <v>298.14999999999998</v>
      </c>
    </row>
    <row r="25" spans="1:7" x14ac:dyDescent="0.2">
      <c r="A25" s="4" t="s">
        <v>10</v>
      </c>
      <c r="B25" s="5">
        <v>-75300</v>
      </c>
    </row>
    <row r="26" spans="1:7" x14ac:dyDescent="0.2">
      <c r="A26" s="4" t="s">
        <v>11</v>
      </c>
      <c r="B26" s="5">
        <v>-14130</v>
      </c>
    </row>
    <row r="27" spans="1:7" x14ac:dyDescent="0.2">
      <c r="A27" s="4" t="s">
        <v>12</v>
      </c>
      <c r="B27" s="5">
        <v>8.3145000000000007</v>
      </c>
    </row>
    <row r="44" spans="1:1" x14ac:dyDescent="0.2">
      <c r="A44" t="s">
        <v>114</v>
      </c>
    </row>
    <row r="157" spans="8:8" x14ac:dyDescent="0.2">
      <c r="H157" t="s">
        <v>115</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E5D25-9830-4DA5-A0A9-4929CC6A61F7}">
  <dimension ref="A1:K31"/>
  <sheetViews>
    <sheetView workbookViewId="0">
      <selection activeCell="M31" sqref="M31"/>
    </sheetView>
  </sheetViews>
  <sheetFormatPr baseColWidth="10" defaultColWidth="8.83203125" defaultRowHeight="16" x14ac:dyDescent="0.2"/>
  <cols>
    <col min="1" max="1" width="13.1640625" bestFit="1" customWidth="1"/>
    <col min="2" max="2" width="10.1640625" bestFit="1" customWidth="1"/>
    <col min="3" max="3" width="11.83203125" bestFit="1" customWidth="1"/>
    <col min="4" max="4" width="4.6640625" bestFit="1" customWidth="1"/>
    <col min="5" max="5" width="12.5" bestFit="1" customWidth="1"/>
    <col min="6" max="7" width="11.83203125" bestFit="1" customWidth="1"/>
    <col min="8" max="8" width="12.5" bestFit="1" customWidth="1"/>
  </cols>
  <sheetData>
    <row r="1" spans="1:11" x14ac:dyDescent="0.2">
      <c r="A1" t="str" cm="1">
        <f t="array" ref="A1:G1">'Advanced Reactors Tutorial 2'!A1:G1</f>
        <v>temp celcius</v>
      </c>
      <c r="B1" t="str">
        <v>temp kelvin</v>
      </c>
      <c r="C1" t="str">
        <v>t1t2</v>
      </c>
      <c r="D1" t="str">
        <v>t1-t2</v>
      </c>
      <c r="E1" t="str">
        <v>t1-t2 / t1t2</v>
      </c>
      <c r="F1" t="str">
        <v>ke2</v>
      </c>
      <c r="G1" t="str">
        <v>xae</v>
      </c>
      <c r="H1" t="s">
        <v>119</v>
      </c>
    </row>
    <row r="2" spans="1:11" x14ac:dyDescent="0.2">
      <c r="A2" cm="1">
        <f t="array" ref="A2:G2">'Advanced Reactors Tutorial 2'!A2:G2</f>
        <v>0</v>
      </c>
      <c r="B2">
        <v>273.14999999999998</v>
      </c>
      <c r="C2">
        <v>81439.672499999986</v>
      </c>
      <c r="D2">
        <v>25</v>
      </c>
      <c r="E2">
        <v>3.0697569418639307E-4</v>
      </c>
      <c r="F2">
        <v>4836.2645193609796</v>
      </c>
      <c r="G2">
        <v>0.99979327159058651</v>
      </c>
      <c r="H2">
        <f>$F$25*EXP(-$B$30 / ($B$27*B2))</f>
        <v>50.599398000470622</v>
      </c>
      <c r="I2" s="12"/>
      <c r="J2" s="12"/>
      <c r="K2" s="12"/>
    </row>
    <row r="3" spans="1:11" x14ac:dyDescent="0.2">
      <c r="A3" cm="1">
        <f t="array" ref="A3:G3">'Advanced Reactors Tutorial 2'!A3:G3</f>
        <v>5</v>
      </c>
      <c r="B3">
        <v>278.14999999999998</v>
      </c>
      <c r="C3">
        <v>82930.422499999986</v>
      </c>
      <c r="D3">
        <v>20</v>
      </c>
      <c r="E3">
        <v>2.4116602082908722E-4</v>
      </c>
      <c r="F3">
        <v>2664.8278358234252</v>
      </c>
      <c r="G3">
        <v>0.99962488200229516</v>
      </c>
      <c r="H3">
        <f t="shared" ref="H3:H22" si="0">$F$25*EXP(-$B$30 / ($B$27*B3))</f>
        <v>74.263067478146894</v>
      </c>
      <c r="I3" s="12"/>
      <c r="J3" s="12"/>
      <c r="K3" s="12"/>
    </row>
    <row r="4" spans="1:11" x14ac:dyDescent="0.2">
      <c r="A4" cm="1">
        <f t="array" ref="A4:G4">'Advanced Reactors Tutorial 2'!A4:G4</f>
        <v>10</v>
      </c>
      <c r="B4">
        <v>283.14999999999998</v>
      </c>
      <c r="C4">
        <v>84421.172499999986</v>
      </c>
      <c r="D4">
        <v>15</v>
      </c>
      <c r="E4">
        <v>1.7768054571855186E-4</v>
      </c>
      <c r="F4">
        <v>1499.5803527179369</v>
      </c>
      <c r="G4">
        <v>0.99933359116811793</v>
      </c>
      <c r="H4">
        <f t="shared" si="0"/>
        <v>107.52653190967706</v>
      </c>
      <c r="I4" s="12"/>
      <c r="J4" s="12"/>
      <c r="K4" s="12"/>
    </row>
    <row r="5" spans="1:11" x14ac:dyDescent="0.2">
      <c r="A5" cm="1">
        <f t="array" ref="A5:G5">'Advanced Reactors Tutorial 2'!A5:G5</f>
        <v>15</v>
      </c>
      <c r="B5">
        <v>288.14999999999998</v>
      </c>
      <c r="C5">
        <v>85911.922499999986</v>
      </c>
      <c r="D5">
        <v>10</v>
      </c>
      <c r="E5">
        <v>1.1639827987785981E-4</v>
      </c>
      <c r="F5">
        <v>860.86674696697833</v>
      </c>
      <c r="G5">
        <v>0.99883972783087505</v>
      </c>
      <c r="H5">
        <f t="shared" si="0"/>
        <v>153.70215368722234</v>
      </c>
      <c r="I5" s="12"/>
      <c r="J5" s="12"/>
      <c r="K5" s="12"/>
    </row>
    <row r="6" spans="1:11" x14ac:dyDescent="0.2">
      <c r="A6" cm="1">
        <f t="array" ref="A6:G6">'Advanced Reactors Tutorial 2'!A6:G6</f>
        <v>20</v>
      </c>
      <c r="B6">
        <v>293.14999999999998</v>
      </c>
      <c r="C6">
        <v>87402.672499999986</v>
      </c>
      <c r="D6">
        <v>5</v>
      </c>
      <c r="E6">
        <v>5.7206488737515445E-5</v>
      </c>
      <c r="F6">
        <v>503.64476458065349</v>
      </c>
      <c r="G6">
        <v>0.99801840805614828</v>
      </c>
      <c r="H6">
        <f t="shared" si="0"/>
        <v>217.04574015577717</v>
      </c>
      <c r="I6" s="12"/>
      <c r="J6" s="12"/>
      <c r="K6" s="12"/>
    </row>
    <row r="7" spans="1:11" x14ac:dyDescent="0.2">
      <c r="A7" cm="1">
        <f t="array" ref="A7:G7">'Advanced Reactors Tutorial 2'!A7:G7</f>
        <v>25</v>
      </c>
      <c r="B7">
        <v>298.14999999999998</v>
      </c>
      <c r="C7">
        <v>88893.422499999986</v>
      </c>
      <c r="D7">
        <v>0</v>
      </c>
      <c r="E7">
        <v>0</v>
      </c>
      <c r="F7">
        <v>300</v>
      </c>
      <c r="G7">
        <v>0.99667774086378735</v>
      </c>
      <c r="H7">
        <f t="shared" si="0"/>
        <v>302.96738036375626</v>
      </c>
      <c r="I7" s="12"/>
      <c r="J7" s="12"/>
      <c r="K7" s="12"/>
    </row>
    <row r="8" spans="1:11" x14ac:dyDescent="0.2">
      <c r="A8" cm="1">
        <f t="array" ref="A8:G8">'Advanced Reactors Tutorial 2'!A8:G8</f>
        <v>30</v>
      </c>
      <c r="B8">
        <v>303.14999999999998</v>
      </c>
      <c r="C8">
        <v>90384.172499999986</v>
      </c>
      <c r="D8">
        <v>-5</v>
      </c>
      <c r="E8">
        <v>-5.5319420001328228E-5</v>
      </c>
      <c r="F8">
        <v>181.77759581954328</v>
      </c>
      <c r="G8">
        <v>0.99452886993334078</v>
      </c>
      <c r="H8">
        <f t="shared" si="0"/>
        <v>418.2755628431857</v>
      </c>
      <c r="I8" s="12"/>
      <c r="J8" s="12"/>
      <c r="K8" s="12"/>
    </row>
    <row r="9" spans="1:11" x14ac:dyDescent="0.2">
      <c r="A9" cm="1">
        <f t="array" ref="A9:G9">'Advanced Reactors Tutorial 2'!A9:G9</f>
        <v>35</v>
      </c>
      <c r="B9">
        <v>308.14999999999998</v>
      </c>
      <c r="C9">
        <v>91874.922499999986</v>
      </c>
      <c r="D9">
        <v>-10</v>
      </c>
      <c r="E9">
        <v>-1.0884362922863964E-4</v>
      </c>
      <c r="F9">
        <v>111.94902919684331</v>
      </c>
      <c r="G9">
        <v>0.9911464489149594</v>
      </c>
      <c r="H9">
        <f t="shared" si="0"/>
        <v>571.4571999953165</v>
      </c>
      <c r="I9" s="12"/>
      <c r="J9" s="12"/>
      <c r="K9" s="12"/>
    </row>
    <row r="10" spans="1:11" x14ac:dyDescent="0.2">
      <c r="A10" cm="1">
        <f t="array" ref="A10:G10">'Advanced Reactors Tutorial 2'!A10:G10</f>
        <v>40</v>
      </c>
      <c r="B10">
        <v>313.14999999999998</v>
      </c>
      <c r="C10">
        <v>93365.672499999986</v>
      </c>
      <c r="D10">
        <v>-15</v>
      </c>
      <c r="E10">
        <v>-1.6065861893727594E-4</v>
      </c>
      <c r="F10">
        <v>70.020138595077114</v>
      </c>
      <c r="G10">
        <v>0.98591948678526919</v>
      </c>
      <c r="H10">
        <f t="shared" si="0"/>
        <v>772.99600284511268</v>
      </c>
      <c r="I10" s="12"/>
      <c r="J10" s="12"/>
      <c r="K10" s="12"/>
    </row>
    <row r="11" spans="1:11" x14ac:dyDescent="0.2">
      <c r="A11" cm="1">
        <f t="array" ref="A11:G11">'Advanced Reactors Tutorial 2'!A11:G11</f>
        <v>45</v>
      </c>
      <c r="B11">
        <v>318.14999999999998</v>
      </c>
      <c r="C11">
        <v>94856.422499999986</v>
      </c>
      <c r="D11">
        <v>-20</v>
      </c>
      <c r="E11">
        <v>-2.108449746773868E-4</v>
      </c>
      <c r="F11">
        <v>44.445858669198415</v>
      </c>
      <c r="G11">
        <v>0.97799579479223786</v>
      </c>
      <c r="H11">
        <f t="shared" si="0"/>
        <v>1035.7314160769699</v>
      </c>
      <c r="I11" s="12"/>
      <c r="J11" s="12"/>
      <c r="K11" s="12"/>
    </row>
    <row r="12" spans="1:11" x14ac:dyDescent="0.2">
      <c r="A12" cm="1">
        <f t="array" ref="A12:G12">'Advanced Reactors Tutorial 2'!A12:G12</f>
        <v>50</v>
      </c>
      <c r="B12">
        <v>323.14999999999998</v>
      </c>
      <c r="C12">
        <v>96347.172499999986</v>
      </c>
      <c r="D12">
        <v>-25</v>
      </c>
      <c r="E12">
        <v>-2.5947829449795223E-4</v>
      </c>
      <c r="F12">
        <v>28.61198549438442</v>
      </c>
      <c r="G12">
        <v>0.96622989025205219</v>
      </c>
      <c r="H12">
        <f t="shared" si="0"/>
        <v>1375.2600407392017</v>
      </c>
      <c r="I12" s="12"/>
      <c r="J12" s="12"/>
      <c r="K12" s="12"/>
    </row>
    <row r="13" spans="1:11" x14ac:dyDescent="0.2">
      <c r="A13" cm="1">
        <f t="array" ref="A13:G13">'Advanced Reactors Tutorial 2'!A13:G13</f>
        <v>55</v>
      </c>
      <c r="B13">
        <v>328.15</v>
      </c>
      <c r="C13">
        <v>97837.922499999986</v>
      </c>
      <c r="D13">
        <v>-30</v>
      </c>
      <c r="E13">
        <v>-3.0662956891792139E-4</v>
      </c>
      <c r="F13">
        <v>18.667829847664873</v>
      </c>
      <c r="G13">
        <v>0.94915554955755688</v>
      </c>
      <c r="H13">
        <f t="shared" si="0"/>
        <v>1810.3811453380933</v>
      </c>
      <c r="I13" s="12"/>
      <c r="J13" s="12"/>
      <c r="K13" s="12"/>
    </row>
    <row r="14" spans="1:11" x14ac:dyDescent="0.2">
      <c r="A14" cm="1">
        <f t="array" ref="A14:G14">'Advanced Reactors Tutorial 2'!A14:G14</f>
        <v>60</v>
      </c>
      <c r="B14">
        <v>333.15</v>
      </c>
      <c r="C14">
        <v>99328.672499999986</v>
      </c>
      <c r="D14">
        <v>-35</v>
      </c>
      <c r="E14">
        <v>-3.5236552668113034E-4</v>
      </c>
      <c r="F14">
        <v>12.336908902665115</v>
      </c>
      <c r="G14">
        <v>0.92502010718539363</v>
      </c>
      <c r="H14">
        <f t="shared" si="0"/>
        <v>2363.5875007526711</v>
      </c>
      <c r="I14" s="12"/>
      <c r="J14" s="12"/>
      <c r="K14" s="12"/>
    </row>
    <row r="15" spans="1:11" x14ac:dyDescent="0.2">
      <c r="A15" cm="1">
        <f t="array" ref="A15:G15">'Advanced Reactors Tutorial 2'!A15:G15</f>
        <v>65</v>
      </c>
      <c r="B15">
        <v>338.15</v>
      </c>
      <c r="C15">
        <v>100819.42249999999</v>
      </c>
      <c r="D15">
        <v>-40</v>
      </c>
      <c r="E15">
        <v>-3.9674894983652583E-4</v>
      </c>
      <c r="F15">
        <v>8.2535091254979225</v>
      </c>
      <c r="G15">
        <v>0.89193288876275989</v>
      </c>
      <c r="H15">
        <f t="shared" si="0"/>
        <v>3061.6023767893785</v>
      </c>
      <c r="I15" s="12"/>
      <c r="J15" s="12"/>
      <c r="K15" s="12"/>
    </row>
    <row r="16" spans="1:11" x14ac:dyDescent="0.2">
      <c r="A16" cm="1">
        <f t="array" ref="A16:G16">'Advanced Reactors Tutorial 2'!A16:G16</f>
        <v>70</v>
      </c>
      <c r="B16">
        <v>343.15</v>
      </c>
      <c r="C16">
        <v>102310.17249999999</v>
      </c>
      <c r="D16">
        <v>-45</v>
      </c>
      <c r="E16">
        <v>-4.3983896127239942E-4</v>
      </c>
      <c r="F16">
        <v>5.5867357121132546</v>
      </c>
      <c r="G16">
        <v>0.84817972912425155</v>
      </c>
      <c r="H16">
        <f t="shared" si="0"/>
        <v>3935.9631151365943</v>
      </c>
      <c r="I16" s="12"/>
      <c r="J16" s="12"/>
      <c r="K16" s="12"/>
    </row>
    <row r="17" spans="1:11" x14ac:dyDescent="0.2">
      <c r="A17" cm="1">
        <f t="array" ref="A17:G17">'Advanced Reactors Tutorial 2'!A17:G17</f>
        <v>75</v>
      </c>
      <c r="B17">
        <v>348.15</v>
      </c>
      <c r="C17">
        <v>103800.92249999999</v>
      </c>
      <c r="D17">
        <v>-50</v>
      </c>
      <c r="E17">
        <v>-4.8169128747386618E-4</v>
      </c>
      <c r="F17">
        <v>3.8242444882136044</v>
      </c>
      <c r="G17">
        <v>0.79271365652318015</v>
      </c>
      <c r="H17">
        <f t="shared" si="0"/>
        <v>5023.6512522049761</v>
      </c>
      <c r="I17" s="12"/>
      <c r="J17" s="12"/>
      <c r="K17" s="12"/>
    </row>
    <row r="18" spans="1:11" x14ac:dyDescent="0.2">
      <c r="A18" cm="1">
        <f t="array" ref="A18:G18">'Advanced Reactors Tutorial 2'!A18:G18</f>
        <v>80</v>
      </c>
      <c r="B18">
        <v>353.15</v>
      </c>
      <c r="C18">
        <v>105291.67249999999</v>
      </c>
      <c r="D18">
        <v>-55</v>
      </c>
      <c r="E18">
        <v>-5.2235849895916511E-4</v>
      </c>
      <c r="F18">
        <v>2.6460279915792695</v>
      </c>
      <c r="G18">
        <v>0.72572892958870239</v>
      </c>
      <c r="H18">
        <f t="shared" si="0"/>
        <v>6367.7687132420069</v>
      </c>
      <c r="I18" s="12"/>
      <c r="J18" s="12"/>
      <c r="K18" s="12"/>
    </row>
    <row r="19" spans="1:11" x14ac:dyDescent="0.2">
      <c r="A19" cm="1">
        <f t="array" ref="A19:G19">'Advanced Reactors Tutorial 2'!A19:G19</f>
        <v>85</v>
      </c>
      <c r="B19">
        <v>358.15</v>
      </c>
      <c r="C19">
        <v>106782.42249999999</v>
      </c>
      <c r="D19">
        <v>-60</v>
      </c>
      <c r="E19">
        <v>-5.6189023057610444E-4</v>
      </c>
      <c r="F19">
        <v>1.8497339117140279</v>
      </c>
      <c r="G19">
        <v>0.64909004455137687</v>
      </c>
      <c r="H19">
        <f t="shared" si="0"/>
        <v>8018.2591435374161</v>
      </c>
      <c r="I19" s="12"/>
      <c r="J19" s="12"/>
      <c r="K19" s="12"/>
    </row>
    <row r="20" spans="1:11" x14ac:dyDescent="0.2">
      <c r="A20" cm="1">
        <f t="array" ref="A20:G20">'Advanced Reactors Tutorial 2'!A20:G20</f>
        <v>90</v>
      </c>
      <c r="B20">
        <v>363.15</v>
      </c>
      <c r="C20">
        <v>108273.17249999999</v>
      </c>
      <c r="D20">
        <v>-65</v>
      </c>
      <c r="E20">
        <v>-6.0033338359970938E-4</v>
      </c>
      <c r="F20">
        <v>1.3058871611710321</v>
      </c>
      <c r="G20">
        <v>0.56632743490702486</v>
      </c>
      <c r="H20">
        <f t="shared" si="0"/>
        <v>10032.672990637886</v>
      </c>
      <c r="I20" s="12"/>
      <c r="J20" s="12"/>
      <c r="K20" s="12"/>
    </row>
    <row r="21" spans="1:11" x14ac:dyDescent="0.2">
      <c r="A21" cm="1">
        <f t="array" ref="A21:G21">'Advanced Reactors Tutorial 2'!A21:G21</f>
        <v>95</v>
      </c>
      <c r="B21">
        <v>368.15</v>
      </c>
      <c r="C21">
        <v>109763.92249999999</v>
      </c>
      <c r="D21">
        <v>-70</v>
      </c>
      <c r="E21">
        <v>-6.3773231136123086E-4</v>
      </c>
      <c r="F21">
        <v>0.93069882397542958</v>
      </c>
      <c r="G21">
        <v>0.48205282585663073</v>
      </c>
      <c r="H21">
        <f t="shared" si="0"/>
        <v>12476.974510041255</v>
      </c>
      <c r="I21" s="12"/>
      <c r="J21" s="12"/>
      <c r="K21" s="12"/>
    </row>
    <row r="22" spans="1:11" x14ac:dyDescent="0.2">
      <c r="A22" cm="1">
        <f t="array" ref="A22:G22">'Advanced Reactors Tutorial 2'!A22:G22</f>
        <v>100</v>
      </c>
      <c r="B22">
        <v>373.15</v>
      </c>
      <c r="C22">
        <v>111254.67249999999</v>
      </c>
      <c r="D22">
        <v>-75</v>
      </c>
      <c r="E22">
        <v>-6.7412898995320857E-4</v>
      </c>
      <c r="F22">
        <v>0.66935220506988857</v>
      </c>
      <c r="G22">
        <v>0.40096523851410115</v>
      </c>
      <c r="H22">
        <f t="shared" si="0"/>
        <v>15426.388442144465</v>
      </c>
      <c r="I22" s="12"/>
      <c r="J22" s="12"/>
      <c r="K22" s="12"/>
    </row>
    <row r="24" spans="1:11" x14ac:dyDescent="0.2">
      <c r="A24" t="str" cm="1">
        <f t="array" ref="A24:B27">'Advanced Reactors Tutorial 2'!A24:B27</f>
        <v xml:space="preserve">t1 </v>
      </c>
      <c r="B24">
        <v>298.14999999999998</v>
      </c>
    </row>
    <row r="25" spans="1:11" x14ac:dyDescent="0.2">
      <c r="A25" t="str">
        <v xml:space="preserve">dh0 </v>
      </c>
      <c r="B25">
        <v>-75300</v>
      </c>
      <c r="E25" t="s">
        <v>120</v>
      </c>
      <c r="F25">
        <v>94109848347.762497</v>
      </c>
    </row>
    <row r="26" spans="1:11" x14ac:dyDescent="0.2">
      <c r="A26" t="str">
        <v xml:space="preserve">dg0 </v>
      </c>
      <c r="B26">
        <v>-14130</v>
      </c>
      <c r="E26" t="s">
        <v>120</v>
      </c>
    </row>
    <row r="27" spans="1:11" x14ac:dyDescent="0.2">
      <c r="A27" t="str">
        <v xml:space="preserve">r </v>
      </c>
      <c r="B27">
        <v>8.3145000000000007</v>
      </c>
      <c r="E27">
        <f>F25*EXP(-48474/(8.3145*298))</f>
        <v>300.00000000000011</v>
      </c>
    </row>
    <row r="28" spans="1:11" x14ac:dyDescent="0.2">
      <c r="A28" t="s">
        <v>117</v>
      </c>
      <c r="B28" s="12">
        <v>92300000000</v>
      </c>
    </row>
    <row r="29" spans="1:11" x14ac:dyDescent="0.2">
      <c r="A29" t="s">
        <v>118</v>
      </c>
      <c r="B29">
        <v>1</v>
      </c>
    </row>
    <row r="30" spans="1:11" x14ac:dyDescent="0.2">
      <c r="A30" t="s">
        <v>121</v>
      </c>
      <c r="B30">
        <v>48474</v>
      </c>
    </row>
    <row r="31" spans="1:11" x14ac:dyDescent="0.2">
      <c r="A31" t="s">
        <v>122</v>
      </c>
      <c r="B31">
        <v>86217</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C9119-A85F-47B9-9C0B-1E7F64F22274}">
  <dimension ref="B2:E5"/>
  <sheetViews>
    <sheetView workbookViewId="0">
      <selection activeCell="H53" sqref="H53"/>
    </sheetView>
  </sheetViews>
  <sheetFormatPr baseColWidth="10" defaultColWidth="8.83203125" defaultRowHeight="16" x14ac:dyDescent="0.2"/>
  <sheetData>
    <row r="2" spans="2:5" x14ac:dyDescent="0.2">
      <c r="B2" t="s">
        <v>16</v>
      </c>
      <c r="C2">
        <v>99</v>
      </c>
    </row>
    <row r="3" spans="2:5" x14ac:dyDescent="0.2">
      <c r="E3" t="s">
        <v>19</v>
      </c>
    </row>
    <row r="4" spans="2:5" x14ac:dyDescent="0.2">
      <c r="B4" t="s">
        <v>17</v>
      </c>
      <c r="C4">
        <v>9.4624551480598509</v>
      </c>
    </row>
    <row r="5" spans="2:5" x14ac:dyDescent="0.2">
      <c r="B5" t="s">
        <v>18</v>
      </c>
      <c r="C5">
        <f>C4 + C4^2</f>
        <v>99.000512577104217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4D59D-AFFF-455C-98A5-C6C880AAF905}">
  <dimension ref="A1:XFD1048575"/>
  <sheetViews>
    <sheetView tabSelected="1" topLeftCell="X1" zoomScale="85" zoomScaleNormal="85" workbookViewId="0"/>
  </sheetViews>
  <sheetFormatPr baseColWidth="10" defaultColWidth="8.83203125" defaultRowHeight="16" x14ac:dyDescent="0.2"/>
  <cols>
    <col min="1" max="1" width="22.6640625" bestFit="1" customWidth="1"/>
    <col min="2" max="2" width="23.1640625" bestFit="1" customWidth="1"/>
    <col min="3" max="3" width="46" bestFit="1" customWidth="1"/>
    <col min="4" max="4" width="59.1640625" bestFit="1" customWidth="1"/>
    <col min="6" max="6" width="17.6640625" bestFit="1" customWidth="1"/>
    <col min="8" max="8" width="22.6640625" bestFit="1" customWidth="1"/>
    <col min="9" max="9" width="23.1640625" bestFit="1" customWidth="1"/>
    <col min="10" max="10" width="26.5" bestFit="1" customWidth="1"/>
    <col min="11" max="12" width="7.6640625" customWidth="1"/>
    <col min="13" max="13" width="7" customWidth="1"/>
    <col min="21" max="21" width="11.6640625" bestFit="1" customWidth="1"/>
    <col min="22" max="22" width="22.5" bestFit="1" customWidth="1"/>
    <col min="23" max="23" width="23" bestFit="1" customWidth="1"/>
    <col min="24" max="24" width="16.5" bestFit="1" customWidth="1"/>
    <col min="25" max="25" width="11.6640625" bestFit="1" customWidth="1"/>
    <col min="28" max="28" width="11.6640625" bestFit="1" customWidth="1"/>
    <col min="31" max="31" width="31.5" bestFit="1" customWidth="1"/>
    <col min="32" max="32" width="23.33203125" bestFit="1" customWidth="1"/>
    <col min="33" max="33" width="13.6640625" bestFit="1" customWidth="1"/>
    <col min="34" max="34" width="15.1640625" bestFit="1" customWidth="1"/>
    <col min="35" max="35" width="16.1640625" bestFit="1" customWidth="1"/>
    <col min="36" max="36" width="18.5" bestFit="1" customWidth="1"/>
    <col min="37" max="37" width="15.6640625" bestFit="1" customWidth="1"/>
    <col min="38" max="39" width="11.83203125" bestFit="1" customWidth="1"/>
    <col min="40" max="40" width="16.33203125" bestFit="1" customWidth="1"/>
    <col min="41" max="41" width="15.1640625" bestFit="1" customWidth="1"/>
    <col min="42" max="44" width="11.83203125" bestFit="1" customWidth="1"/>
    <col min="45" max="45" width="11.1640625" bestFit="1" customWidth="1"/>
  </cols>
  <sheetData>
    <row r="1" spans="1:45" x14ac:dyDescent="0.2">
      <c r="A1" t="s">
        <v>33</v>
      </c>
      <c r="H1" t="s">
        <v>54</v>
      </c>
      <c r="U1" t="s">
        <v>60</v>
      </c>
      <c r="AE1" t="s">
        <v>71</v>
      </c>
    </row>
    <row r="2" spans="1:45" x14ac:dyDescent="0.2">
      <c r="A2" s="9" t="s">
        <v>21</v>
      </c>
      <c r="B2" s="9" t="s">
        <v>22</v>
      </c>
      <c r="C2" s="9" t="s">
        <v>23</v>
      </c>
      <c r="F2" s="9" t="s">
        <v>42</v>
      </c>
      <c r="H2" t="s">
        <v>33</v>
      </c>
      <c r="U2" s="9" t="s">
        <v>61</v>
      </c>
      <c r="V2" s="9" t="s">
        <v>62</v>
      </c>
      <c r="X2" t="s">
        <v>33</v>
      </c>
      <c r="AE2" t="s">
        <v>33</v>
      </c>
      <c r="AG2" s="9" t="s">
        <v>81</v>
      </c>
      <c r="AH2" s="10">
        <v>1100</v>
      </c>
      <c r="AI2" s="10" t="s">
        <v>73</v>
      </c>
    </row>
    <row r="3" spans="1:45" x14ac:dyDescent="0.2">
      <c r="A3" s="10" t="s">
        <v>24</v>
      </c>
      <c r="B3" s="10">
        <v>0</v>
      </c>
      <c r="C3" s="10">
        <f>B3 / SUM($B$3:$B$11)</f>
        <v>0</v>
      </c>
      <c r="F3" s="10">
        <v>100</v>
      </c>
      <c r="H3" s="9" t="s">
        <v>49</v>
      </c>
      <c r="I3" s="9" t="s">
        <v>36</v>
      </c>
      <c r="J3" s="9" t="s">
        <v>50</v>
      </c>
      <c r="K3" s="9" t="s">
        <v>52</v>
      </c>
      <c r="L3" s="9" t="s">
        <v>51</v>
      </c>
      <c r="M3" s="9" t="s">
        <v>53</v>
      </c>
      <c r="U3" s="10">
        <v>9</v>
      </c>
      <c r="V3" s="10">
        <v>0</v>
      </c>
      <c r="X3" s="9" t="s">
        <v>63</v>
      </c>
      <c r="Y3" s="10">
        <v>0.17</v>
      </c>
      <c r="AE3" s="9" t="s">
        <v>76</v>
      </c>
      <c r="AF3" s="9" t="s">
        <v>77</v>
      </c>
      <c r="AG3" s="9" t="s">
        <v>80</v>
      </c>
      <c r="AH3" s="9" t="s">
        <v>82</v>
      </c>
      <c r="AI3" s="9" t="s">
        <v>83</v>
      </c>
      <c r="AJ3" s="9" t="s">
        <v>84</v>
      </c>
      <c r="AK3" s="9" t="s">
        <v>79</v>
      </c>
      <c r="AL3" s="9" t="s">
        <v>52</v>
      </c>
      <c r="AM3" s="9" t="s">
        <v>51</v>
      </c>
      <c r="AN3" s="9" t="s">
        <v>53</v>
      </c>
    </row>
    <row r="4" spans="1:45" x14ac:dyDescent="0.2">
      <c r="A4" s="10" t="s">
        <v>25</v>
      </c>
      <c r="B4" s="10">
        <v>10</v>
      </c>
      <c r="C4" s="10">
        <f t="shared" ref="C4:C11" si="0">B4 / SUM($B$3:$B$11)</f>
        <v>6.25E-2</v>
      </c>
      <c r="F4" s="10">
        <v>200</v>
      </c>
      <c r="H4" s="10">
        <v>1</v>
      </c>
      <c r="I4" s="10">
        <v>100</v>
      </c>
      <c r="J4" s="10">
        <v>0</v>
      </c>
      <c r="K4" s="10">
        <f>J4*I4</f>
        <v>0</v>
      </c>
      <c r="L4" s="10">
        <f>J4*I4^2</f>
        <v>0</v>
      </c>
      <c r="M4" s="10">
        <f>J4*I4^3</f>
        <v>0</v>
      </c>
      <c r="U4" s="10">
        <v>19</v>
      </c>
      <c r="V4" s="10">
        <v>0.01</v>
      </c>
      <c r="X4" s="9" t="s">
        <v>64</v>
      </c>
      <c r="Y4" s="10">
        <f>V9-V6</f>
        <v>0.51</v>
      </c>
      <c r="AE4" s="10">
        <v>1E-4</v>
      </c>
      <c r="AF4" s="10">
        <v>0.01</v>
      </c>
      <c r="AG4" s="10">
        <f>AF4/$AH$2</f>
        <v>9.090909090909091E-6</v>
      </c>
      <c r="AH4" s="10">
        <f>PI()*AE4^3 / 6</f>
        <v>5.2359877559829888E-13</v>
      </c>
      <c r="AI4" s="10">
        <f>AG4/AH4</f>
        <v>17362357.428206764</v>
      </c>
      <c r="AJ4" s="10">
        <f>AI4/SUM($AI$4:$AI$6)</f>
        <v>0.7255500124165416</v>
      </c>
      <c r="AK4" s="10">
        <f>SUM($AJ$4:AJ4)</f>
        <v>0.7255500124165416</v>
      </c>
      <c r="AL4" s="10">
        <f>AJ4*AE4</f>
        <v>7.2555001241654158E-5</v>
      </c>
      <c r="AM4" s="10">
        <f>AJ4*AE4^2</f>
        <v>7.2555001241654158E-9</v>
      </c>
      <c r="AN4" s="10">
        <f>AJ4*AE4^3</f>
        <v>7.2555001241654158E-13</v>
      </c>
    </row>
    <row r="5" spans="1:45" x14ac:dyDescent="0.2">
      <c r="A5" s="10" t="s">
        <v>26</v>
      </c>
      <c r="B5" s="10">
        <v>20</v>
      </c>
      <c r="C5" s="10">
        <f t="shared" si="0"/>
        <v>0.125</v>
      </c>
      <c r="F5" s="10">
        <v>300</v>
      </c>
      <c r="H5" s="10">
        <v>2</v>
      </c>
      <c r="I5" s="10">
        <v>200</v>
      </c>
      <c r="J5" s="10">
        <f t="shared" ref="J5:J11" si="1">I16-I15</f>
        <v>0.05</v>
      </c>
      <c r="K5" s="10">
        <f t="shared" ref="K5:K12" si="2">J5*I5</f>
        <v>10</v>
      </c>
      <c r="L5" s="10">
        <f t="shared" ref="L5:L12" si="3">J5*I5^2</f>
        <v>2000</v>
      </c>
      <c r="M5" s="10">
        <f t="shared" ref="M5:M12" si="4">J5*I5^3</f>
        <v>400000</v>
      </c>
      <c r="U5" s="10">
        <v>29</v>
      </c>
      <c r="V5" s="10">
        <v>0.06</v>
      </c>
      <c r="X5" s="9" t="s">
        <v>65</v>
      </c>
      <c r="Y5" s="10">
        <f>V12-V9</f>
        <v>0.31999999999999995</v>
      </c>
      <c r="AE5" s="10">
        <v>3.3E-4</v>
      </c>
      <c r="AF5" s="10">
        <v>0.1</v>
      </c>
      <c r="AG5" s="10">
        <f t="shared" ref="AG5:AG6" si="5">AF5/$AH$2</f>
        <v>9.0909090909090917E-5</v>
      </c>
      <c r="AH5" s="10">
        <f t="shared" ref="AH5:AH6" si="6">PI()*AE5^3 / 6</f>
        <v>1.8816569198676065E-11</v>
      </c>
      <c r="AI5" s="10">
        <f t="shared" ref="AI5:AI6" si="7">AG5/AH5</f>
        <v>4831331.8942056289</v>
      </c>
      <c r="AJ5" s="10">
        <f t="shared" ref="AJ5:AJ6" si="8">AI5/SUM($AI$4:$AI$6)</f>
        <v>0.20189498634180419</v>
      </c>
      <c r="AK5" s="10">
        <f>SUM($AJ$4:AJ5)</f>
        <v>0.92744499875834574</v>
      </c>
      <c r="AL5" s="10">
        <f t="shared" ref="AL5:AL6" si="9">AJ5*AE5</f>
        <v>6.662534549279539E-5</v>
      </c>
      <c r="AM5" s="10">
        <f t="shared" ref="AM5:AM6" si="10">AJ5*AE5^2</f>
        <v>2.1986364012622478E-8</v>
      </c>
      <c r="AN5" s="10">
        <f t="shared" ref="AN5:AN6" si="11">AJ5*AE5^3</f>
        <v>7.2555001241654172E-12</v>
      </c>
    </row>
    <row r="6" spans="1:45" x14ac:dyDescent="0.2">
      <c r="A6" s="10" t="s">
        <v>27</v>
      </c>
      <c r="B6" s="10">
        <v>30</v>
      </c>
      <c r="C6" s="10">
        <f t="shared" si="0"/>
        <v>0.1875</v>
      </c>
      <c r="F6" s="10">
        <v>400</v>
      </c>
      <c r="H6" s="10">
        <v>3</v>
      </c>
      <c r="I6" s="10">
        <v>300</v>
      </c>
      <c r="J6" s="10">
        <f t="shared" si="1"/>
        <v>9.9999999999999992E-2</v>
      </c>
      <c r="K6" s="10">
        <f t="shared" si="2"/>
        <v>29.999999999999996</v>
      </c>
      <c r="L6" s="10">
        <f t="shared" si="3"/>
        <v>9000</v>
      </c>
      <c r="M6" s="10">
        <f t="shared" si="4"/>
        <v>2700000</v>
      </c>
      <c r="U6" s="10">
        <v>39</v>
      </c>
      <c r="V6" s="10">
        <v>0.17</v>
      </c>
      <c r="AE6" s="10">
        <v>1E-3</v>
      </c>
      <c r="AF6" s="10">
        <v>1</v>
      </c>
      <c r="AG6" s="10">
        <f t="shared" si="5"/>
        <v>9.0909090909090909E-4</v>
      </c>
      <c r="AH6" s="10">
        <f t="shared" si="6"/>
        <v>5.2359877559829886E-10</v>
      </c>
      <c r="AI6" s="10">
        <f t="shared" si="7"/>
        <v>1736235.7428206764</v>
      </c>
      <c r="AJ6" s="10">
        <f t="shared" si="8"/>
        <v>7.2555001241654163E-2</v>
      </c>
      <c r="AK6" s="10">
        <f>SUM($AJ$4:AJ6)</f>
        <v>0.99999999999999989</v>
      </c>
      <c r="AL6" s="10">
        <f t="shared" si="9"/>
        <v>7.2555001241654158E-5</v>
      </c>
      <c r="AM6" s="10">
        <f t="shared" si="10"/>
        <v>7.2555001241654166E-8</v>
      </c>
      <c r="AN6" s="10">
        <f t="shared" si="11"/>
        <v>7.2555001241654169E-11</v>
      </c>
    </row>
    <row r="7" spans="1:45" x14ac:dyDescent="0.2">
      <c r="A7" s="10" t="s">
        <v>28</v>
      </c>
      <c r="B7" s="10">
        <v>40</v>
      </c>
      <c r="C7" s="10">
        <f t="shared" si="0"/>
        <v>0.25</v>
      </c>
      <c r="F7" s="10">
        <v>500</v>
      </c>
      <c r="H7" s="10">
        <v>4</v>
      </c>
      <c r="I7" s="10">
        <v>400</v>
      </c>
      <c r="J7" s="10">
        <f t="shared" si="1"/>
        <v>0.17</v>
      </c>
      <c r="K7" s="10">
        <f t="shared" si="2"/>
        <v>68</v>
      </c>
      <c r="L7" s="10">
        <f t="shared" si="3"/>
        <v>27200.000000000004</v>
      </c>
      <c r="M7" s="10">
        <f t="shared" si="4"/>
        <v>10880000</v>
      </c>
      <c r="U7" s="10">
        <v>49</v>
      </c>
      <c r="V7" s="10">
        <v>0.31</v>
      </c>
    </row>
    <row r="8" spans="1:45" x14ac:dyDescent="0.2">
      <c r="A8" s="10" t="s">
        <v>29</v>
      </c>
      <c r="B8" s="10">
        <v>30</v>
      </c>
      <c r="C8" s="10">
        <f t="shared" si="0"/>
        <v>0.1875</v>
      </c>
      <c r="F8" s="10">
        <v>600</v>
      </c>
      <c r="H8" s="10">
        <v>5</v>
      </c>
      <c r="I8" s="10">
        <v>500</v>
      </c>
      <c r="J8" s="10">
        <f t="shared" si="1"/>
        <v>0.19</v>
      </c>
      <c r="K8" s="10">
        <f t="shared" si="2"/>
        <v>95</v>
      </c>
      <c r="L8" s="10">
        <f t="shared" si="3"/>
        <v>47500</v>
      </c>
      <c r="M8" s="10">
        <f t="shared" si="4"/>
        <v>23750000</v>
      </c>
      <c r="U8" s="10">
        <v>59</v>
      </c>
      <c r="V8" s="10">
        <v>0.48</v>
      </c>
      <c r="AE8" s="9" t="s">
        <v>85</v>
      </c>
      <c r="AF8" s="10">
        <f>SUM(AL4:AL6)</f>
        <v>2.1173534797610372E-4</v>
      </c>
      <c r="AG8" s="10" t="s">
        <v>87</v>
      </c>
    </row>
    <row r="9" spans="1:45" x14ac:dyDescent="0.2">
      <c r="A9" s="10" t="s">
        <v>30</v>
      </c>
      <c r="B9" s="10">
        <v>20</v>
      </c>
      <c r="C9" s="10">
        <f t="shared" si="0"/>
        <v>0.125</v>
      </c>
      <c r="F9" s="10">
        <v>700</v>
      </c>
      <c r="H9" s="10">
        <v>6</v>
      </c>
      <c r="I9" s="10">
        <v>600</v>
      </c>
      <c r="J9" s="10">
        <f t="shared" si="1"/>
        <v>0.14000000000000001</v>
      </c>
      <c r="K9" s="10">
        <f t="shared" si="2"/>
        <v>84.000000000000014</v>
      </c>
      <c r="L9" s="10">
        <f t="shared" si="3"/>
        <v>50400.000000000007</v>
      </c>
      <c r="M9" s="10">
        <f t="shared" si="4"/>
        <v>30240000.000000004</v>
      </c>
      <c r="U9" s="10">
        <v>69</v>
      </c>
      <c r="V9" s="10">
        <v>0.68</v>
      </c>
      <c r="AE9" s="9" t="s">
        <v>86</v>
      </c>
      <c r="AF9" s="10">
        <f>SUM(AN4:AN6) / SUM(AM4:AM6)</f>
        <v>7.9114470842332621E-4</v>
      </c>
      <c r="AG9" s="10" t="s">
        <v>87</v>
      </c>
    </row>
    <row r="10" spans="1:45" x14ac:dyDescent="0.2">
      <c r="A10" s="10" t="s">
        <v>31</v>
      </c>
      <c r="B10" s="10">
        <v>10</v>
      </c>
      <c r="C10" s="10">
        <f t="shared" si="0"/>
        <v>6.25E-2</v>
      </c>
      <c r="F10" s="10">
        <v>800</v>
      </c>
      <c r="H10" s="10">
        <v>7</v>
      </c>
      <c r="I10" s="10">
        <v>700</v>
      </c>
      <c r="J10" s="10">
        <f t="shared" si="1"/>
        <v>4.9999999999999933E-2</v>
      </c>
      <c r="K10" s="10">
        <f t="shared" si="2"/>
        <v>34.99999999999995</v>
      </c>
      <c r="L10" s="10">
        <f t="shared" si="3"/>
        <v>24499.999999999967</v>
      </c>
      <c r="M10" s="10">
        <f t="shared" si="4"/>
        <v>17149999.999999978</v>
      </c>
      <c r="U10" s="10">
        <v>79</v>
      </c>
      <c r="V10" s="10">
        <v>0.89</v>
      </c>
    </row>
    <row r="11" spans="1:45" x14ac:dyDescent="0.2">
      <c r="A11" s="10" t="s">
        <v>32</v>
      </c>
      <c r="B11" s="10">
        <v>0</v>
      </c>
      <c r="C11" s="10">
        <f t="shared" si="0"/>
        <v>0</v>
      </c>
      <c r="F11" s="10">
        <v>900</v>
      </c>
      <c r="H11" s="10">
        <v>8</v>
      </c>
      <c r="I11" s="10">
        <v>800</v>
      </c>
      <c r="J11" s="10">
        <f t="shared" si="1"/>
        <v>0.18000000000000005</v>
      </c>
      <c r="K11" s="10">
        <f t="shared" si="2"/>
        <v>144.00000000000003</v>
      </c>
      <c r="L11" s="10">
        <f t="shared" si="3"/>
        <v>115200.00000000003</v>
      </c>
      <c r="M11" s="10">
        <f t="shared" si="4"/>
        <v>92160000.00000003</v>
      </c>
      <c r="U11" s="10">
        <v>89</v>
      </c>
      <c r="V11" s="10">
        <v>1</v>
      </c>
    </row>
    <row r="12" spans="1:45" x14ac:dyDescent="0.2">
      <c r="H12" s="10">
        <v>9</v>
      </c>
      <c r="I12" s="10">
        <v>900</v>
      </c>
      <c r="J12" s="10">
        <f>I23-I22</f>
        <v>0.12</v>
      </c>
      <c r="K12" s="10">
        <f t="shared" si="2"/>
        <v>108</v>
      </c>
      <c r="L12" s="10">
        <f t="shared" si="3"/>
        <v>97200</v>
      </c>
      <c r="M12" s="10">
        <f t="shared" si="4"/>
        <v>87480000</v>
      </c>
      <c r="U12" s="10">
        <v>99</v>
      </c>
      <c r="V12" s="10">
        <v>1</v>
      </c>
    </row>
    <row r="13" spans="1:45" x14ac:dyDescent="0.2">
      <c r="A13" t="s">
        <v>34</v>
      </c>
      <c r="U13" t="s">
        <v>34</v>
      </c>
    </row>
    <row r="14" spans="1:45" x14ac:dyDescent="0.2">
      <c r="A14" s="9" t="s">
        <v>35</v>
      </c>
      <c r="B14" s="9" t="s">
        <v>36</v>
      </c>
      <c r="C14" s="9" t="s">
        <v>37</v>
      </c>
      <c r="D14" s="9" t="s">
        <v>38</v>
      </c>
      <c r="H14" s="9" t="s">
        <v>21</v>
      </c>
      <c r="I14" s="9" t="s">
        <v>55</v>
      </c>
      <c r="U14" s="9" t="s">
        <v>66</v>
      </c>
      <c r="V14" s="9" t="s">
        <v>67</v>
      </c>
      <c r="W14" s="9" t="s">
        <v>68</v>
      </c>
      <c r="X14" s="9" t="s">
        <v>69</v>
      </c>
      <c r="Y14" s="9" t="s">
        <v>52</v>
      </c>
      <c r="AE14" t="s">
        <v>89</v>
      </c>
    </row>
    <row r="15" spans="1:45" x14ac:dyDescent="0.2">
      <c r="A15" s="10">
        <v>1</v>
      </c>
      <c r="B15" s="10">
        <v>100</v>
      </c>
      <c r="C15" s="10">
        <f>SUM($C$3:C3)</f>
        <v>0</v>
      </c>
      <c r="D15" s="10">
        <f>C15 / ($B$16-$B$15)</f>
        <v>0</v>
      </c>
      <c r="H15" s="10">
        <v>100</v>
      </c>
      <c r="I15" s="10">
        <v>0</v>
      </c>
      <c r="U15" s="10">
        <v>1</v>
      </c>
      <c r="V15" s="10">
        <v>9</v>
      </c>
      <c r="W15" s="10">
        <v>0</v>
      </c>
      <c r="X15" s="10">
        <v>0</v>
      </c>
      <c r="Y15" s="10">
        <f>X15*V15</f>
        <v>0</v>
      </c>
      <c r="AA15" s="9" t="s">
        <v>70</v>
      </c>
      <c r="AB15" s="10">
        <f>SUM(Y15:Y24)</f>
        <v>63</v>
      </c>
      <c r="AE15" t="s">
        <v>33</v>
      </c>
      <c r="AF15" s="9" t="s">
        <v>91</v>
      </c>
      <c r="AG15" s="10">
        <v>1.0000000000000001E-5</v>
      </c>
      <c r="AH15" s="10" t="s">
        <v>87</v>
      </c>
      <c r="AI15" s="9" t="s">
        <v>72</v>
      </c>
      <c r="AJ15" s="10">
        <v>1400</v>
      </c>
      <c r="AK15" s="10" t="s">
        <v>92</v>
      </c>
      <c r="AL15" s="10"/>
      <c r="AM15" s="9" t="s">
        <v>95</v>
      </c>
    </row>
    <row r="16" spans="1:45" x14ac:dyDescent="0.2">
      <c r="A16" s="10">
        <v>2</v>
      </c>
      <c r="B16" s="10">
        <v>200</v>
      </c>
      <c r="C16" s="10">
        <f>SUM($C$3:C4)</f>
        <v>6.25E-2</v>
      </c>
      <c r="D16" s="10">
        <f xml:space="preserve"> (C16 -C15) / ($B$16-$B$15)</f>
        <v>6.2500000000000001E-4</v>
      </c>
      <c r="H16" s="10">
        <v>200</v>
      </c>
      <c r="I16" s="10">
        <v>0.05</v>
      </c>
      <c r="U16" s="10">
        <v>2</v>
      </c>
      <c r="V16" s="10">
        <v>19</v>
      </c>
      <c r="W16" s="10">
        <v>0.01</v>
      </c>
      <c r="X16" s="10">
        <f t="shared" ref="X16:X23" si="12">W16-W15</f>
        <v>0.01</v>
      </c>
      <c r="Y16" s="10">
        <f t="shared" ref="Y16:Y24" si="13">X16*V16</f>
        <v>0.19</v>
      </c>
      <c r="AE16" s="9" t="s">
        <v>90</v>
      </c>
      <c r="AF16" s="9" t="s">
        <v>93</v>
      </c>
      <c r="AG16" s="9" t="s">
        <v>78</v>
      </c>
      <c r="AH16" s="9" t="s">
        <v>94</v>
      </c>
      <c r="AI16" s="9" t="s">
        <v>96</v>
      </c>
      <c r="AJ16" s="9" t="s">
        <v>75</v>
      </c>
      <c r="AK16" s="9" t="s">
        <v>84</v>
      </c>
      <c r="AL16" s="9" t="s">
        <v>79</v>
      </c>
      <c r="AM16" s="9" t="s">
        <v>97</v>
      </c>
      <c r="AN16" s="9" t="s">
        <v>101</v>
      </c>
      <c r="AO16" s="9" t="s">
        <v>100</v>
      </c>
      <c r="AP16" s="9" t="s">
        <v>52</v>
      </c>
      <c r="AQ16" s="9" t="s">
        <v>51</v>
      </c>
      <c r="AR16" s="9" t="s">
        <v>53</v>
      </c>
      <c r="AS16" s="9" t="s">
        <v>103</v>
      </c>
    </row>
    <row r="17" spans="1:45" x14ac:dyDescent="0.2">
      <c r="A17" s="10">
        <v>3</v>
      </c>
      <c r="B17" s="10">
        <v>300</v>
      </c>
      <c r="C17" s="10">
        <f>SUM($C$3:C5)</f>
        <v>0.1875</v>
      </c>
      <c r="D17" s="10">
        <f t="shared" ref="D17:D24" si="14" xml:space="preserve"> (C17 -C16) / ($B$16-$B$15)</f>
        <v>1.25E-3</v>
      </c>
      <c r="H17" s="10">
        <v>300</v>
      </c>
      <c r="I17" s="10">
        <v>0.15</v>
      </c>
      <c r="U17" s="10">
        <v>3</v>
      </c>
      <c r="V17" s="10">
        <v>29</v>
      </c>
      <c r="W17" s="10">
        <v>0.06</v>
      </c>
      <c r="X17" s="10">
        <f t="shared" si="12"/>
        <v>4.9999999999999996E-2</v>
      </c>
      <c r="Y17" s="10">
        <f t="shared" si="13"/>
        <v>1.45</v>
      </c>
      <c r="AD17" s="9" t="s">
        <v>105</v>
      </c>
      <c r="AE17" s="10">
        <v>1E-3</v>
      </c>
      <c r="AF17" s="10">
        <v>0.99</v>
      </c>
      <c r="AG17" s="10">
        <v>0.99</v>
      </c>
      <c r="AH17" s="10">
        <f>AF17/$AJ$15</f>
        <v>7.0714285714285714E-4</v>
      </c>
      <c r="AI17" s="10">
        <f xml:space="preserve"> PI()*($AG$15/2)^2 *AE17</f>
        <v>7.8539816339744842E-14</v>
      </c>
      <c r="AJ17" s="10">
        <f>AH17/AI17</f>
        <v>9003622494.9129353</v>
      </c>
      <c r="AK17" s="10">
        <f>AJ17/SUM($AJ$17:$AJ$18)</f>
        <v>0.83193277310924363</v>
      </c>
      <c r="AL17" s="10">
        <f>SUM($AK$17:AK17)</f>
        <v>0.83193277310924363</v>
      </c>
      <c r="AM17" s="10">
        <f>AH17/SUM($AH$17:$AH$18)</f>
        <v>0.99</v>
      </c>
      <c r="AN17" s="10">
        <f>((2*PI()*($AG$15/2)^2) + (PI()*$AG$15*AE17))*AJ17</f>
        <v>284.2714285714286</v>
      </c>
      <c r="AO17" s="10">
        <f>(PI()* (AF20/2)^2 *4)*AJ17</f>
        <v>284.2709939170046</v>
      </c>
      <c r="AP17" s="10">
        <f>AK17*AF20</f>
        <v>8.340093741254362E-5</v>
      </c>
      <c r="AQ17" s="10">
        <f>AK17*AF20^2</f>
        <v>8.3609115857942544E-9</v>
      </c>
      <c r="AR17" s="10">
        <f>AK17*AF20^3</f>
        <v>8.3817813940967529E-13</v>
      </c>
      <c r="AS17" s="10">
        <f>AK17*AF20^4</f>
        <v>8.4027032958694573E-17</v>
      </c>
    </row>
    <row r="18" spans="1:45" x14ac:dyDescent="0.2">
      <c r="A18" s="10">
        <v>4</v>
      </c>
      <c r="B18" s="10">
        <v>400</v>
      </c>
      <c r="C18" s="10">
        <f>SUM($C$3:C6)</f>
        <v>0.375</v>
      </c>
      <c r="D18" s="10">
        <f t="shared" si="14"/>
        <v>1.8749999999999999E-3</v>
      </c>
      <c r="H18" s="10">
        <v>400</v>
      </c>
      <c r="I18" s="10">
        <v>0.32</v>
      </c>
      <c r="U18" s="10">
        <v>4</v>
      </c>
      <c r="V18" s="10">
        <v>39</v>
      </c>
      <c r="W18" s="10">
        <v>0.17</v>
      </c>
      <c r="X18" s="10">
        <f t="shared" si="12"/>
        <v>0.11000000000000001</v>
      </c>
      <c r="Y18" s="10">
        <f t="shared" si="13"/>
        <v>4.2900000000000009</v>
      </c>
      <c r="AD18" s="9" t="s">
        <v>106</v>
      </c>
      <c r="AE18" s="10">
        <v>5.0000000000000002E-5</v>
      </c>
      <c r="AF18" s="10">
        <v>0.01</v>
      </c>
      <c r="AG18" s="10">
        <v>0.01</v>
      </c>
      <c r="AH18" s="10">
        <f>AF18/$AJ$15</f>
        <v>7.1428571428571427E-6</v>
      </c>
      <c r="AI18" s="10">
        <f xml:space="preserve"> PI()*($AG$15/2)^2 *AE18</f>
        <v>3.9269908169872418E-15</v>
      </c>
      <c r="AJ18" s="10">
        <f>AH18/AI18</f>
        <v>1818913635.3359466</v>
      </c>
      <c r="AK18" s="10">
        <f>AJ18/SUM($AJ$17:$AJ$18)</f>
        <v>0.16806722689075629</v>
      </c>
      <c r="AL18" s="10">
        <f>SUM($AK$17:AK18)</f>
        <v>0.99999999999999989</v>
      </c>
      <c r="AM18" s="10">
        <f>AH18/SUM($AH$17:$AH$18)</f>
        <v>0.01</v>
      </c>
      <c r="AN18" s="10">
        <f>((2*PI()*($AG$15/2)^2) + (PI()*$AG$15*AE18))*AJ18</f>
        <v>3.1428571428571432</v>
      </c>
      <c r="AO18" s="10">
        <f>(PI()* (AF21/2)^2 *4)*AJ18</f>
        <v>3.1428107910762138</v>
      </c>
      <c r="AP18" s="10">
        <f>AK18*AF21</f>
        <v>3.941496783093073E-6</v>
      </c>
      <c r="AQ18" s="10">
        <f>AK18*AF21^2</f>
        <v>9.2435611502241591E-11</v>
      </c>
      <c r="AR18" s="10">
        <f>AK18*AF21^3</f>
        <v>2.1677912590069916E-15</v>
      </c>
      <c r="AS18" s="10">
        <f>AK18*AF21^4</f>
        <v>5.0838836529070369E-20</v>
      </c>
    </row>
    <row r="19" spans="1:45" x14ac:dyDescent="0.2">
      <c r="A19" s="10">
        <v>5</v>
      </c>
      <c r="B19" s="10">
        <v>500</v>
      </c>
      <c r="C19" s="10">
        <f>SUM($C$3:C7)</f>
        <v>0.625</v>
      </c>
      <c r="D19" s="10">
        <f t="shared" si="14"/>
        <v>2.5000000000000001E-3</v>
      </c>
      <c r="H19" s="10">
        <v>500</v>
      </c>
      <c r="I19" s="10">
        <v>0.51</v>
      </c>
      <c r="U19" s="10">
        <v>5</v>
      </c>
      <c r="V19" s="10">
        <v>49</v>
      </c>
      <c r="W19" s="10">
        <v>0.31</v>
      </c>
      <c r="X19" s="10">
        <f t="shared" si="12"/>
        <v>0.13999999999999999</v>
      </c>
      <c r="Y19" s="10">
        <f t="shared" si="13"/>
        <v>6.8599999999999994</v>
      </c>
    </row>
    <row r="20" spans="1:45" x14ac:dyDescent="0.2">
      <c r="A20" s="10">
        <v>6</v>
      </c>
      <c r="B20" s="10">
        <v>600</v>
      </c>
      <c r="C20" s="10">
        <f>SUM($C$3:C8)</f>
        <v>0.8125</v>
      </c>
      <c r="D20" s="10">
        <f t="shared" si="14"/>
        <v>1.8749999999999999E-3</v>
      </c>
      <c r="H20" s="10">
        <v>600</v>
      </c>
      <c r="I20" s="10">
        <v>0.65</v>
      </c>
      <c r="U20" s="10">
        <v>6</v>
      </c>
      <c r="V20" s="10">
        <v>59</v>
      </c>
      <c r="W20" s="10">
        <v>0.48</v>
      </c>
      <c r="X20" s="10">
        <f t="shared" si="12"/>
        <v>0.16999999999999998</v>
      </c>
      <c r="Y20" s="10">
        <f t="shared" si="13"/>
        <v>10.029999999999999</v>
      </c>
      <c r="AE20" s="9" t="s">
        <v>98</v>
      </c>
      <c r="AF20" s="10">
        <v>1.0024961163729991E-4</v>
      </c>
      <c r="AI20" s="9" t="s">
        <v>102</v>
      </c>
      <c r="AJ20" s="10">
        <f>SUM(AP17:AP18)</f>
        <v>8.7342434195636698E-5</v>
      </c>
    </row>
    <row r="21" spans="1:45" x14ac:dyDescent="0.2">
      <c r="A21" s="10">
        <v>7</v>
      </c>
      <c r="B21" s="10">
        <v>700</v>
      </c>
      <c r="C21" s="10">
        <f>SUM($C$3:C9)</f>
        <v>0.9375</v>
      </c>
      <c r="D21" s="10">
        <f t="shared" si="14"/>
        <v>1.25E-3</v>
      </c>
      <c r="H21" s="10">
        <v>700</v>
      </c>
      <c r="I21" s="10">
        <v>0.7</v>
      </c>
      <c r="U21" s="10">
        <v>7</v>
      </c>
      <c r="V21" s="10">
        <v>69</v>
      </c>
      <c r="W21" s="10">
        <v>0.68</v>
      </c>
      <c r="X21" s="10">
        <f t="shared" si="12"/>
        <v>0.20000000000000007</v>
      </c>
      <c r="Y21" s="10">
        <f t="shared" si="13"/>
        <v>13.800000000000004</v>
      </c>
      <c r="AE21" s="9" t="s">
        <v>99</v>
      </c>
      <c r="AF21" s="10">
        <v>2.3451905859403784E-5</v>
      </c>
      <c r="AI21" s="9" t="s">
        <v>104</v>
      </c>
      <c r="AJ21" s="10">
        <f>SUM(AS17:AS18) / SUM(AR17:AR18)</f>
        <v>1.0005150108636925E-4</v>
      </c>
    </row>
    <row r="22" spans="1:45" x14ac:dyDescent="0.2">
      <c r="A22" s="10">
        <v>8</v>
      </c>
      <c r="B22" s="10">
        <v>800</v>
      </c>
      <c r="C22" s="10">
        <f>SUM($C$3:C10)</f>
        <v>1</v>
      </c>
      <c r="D22" s="10">
        <f t="shared" si="14"/>
        <v>6.2500000000000001E-4</v>
      </c>
      <c r="H22" s="10">
        <v>800</v>
      </c>
      <c r="I22" s="10">
        <v>0.88</v>
      </c>
      <c r="U22" s="10">
        <v>8</v>
      </c>
      <c r="V22" s="10">
        <v>79</v>
      </c>
      <c r="W22" s="10">
        <v>0.89</v>
      </c>
      <c r="X22" s="10">
        <f t="shared" si="12"/>
        <v>0.20999999999999996</v>
      </c>
      <c r="Y22" s="10">
        <f t="shared" si="13"/>
        <v>16.589999999999996</v>
      </c>
    </row>
    <row r="23" spans="1:45" x14ac:dyDescent="0.2">
      <c r="A23" s="10">
        <v>9</v>
      </c>
      <c r="B23" s="10">
        <v>900</v>
      </c>
      <c r="C23" s="10">
        <f>SUM($C$3:C11)</f>
        <v>1</v>
      </c>
      <c r="D23" s="10">
        <f t="shared" si="14"/>
        <v>0</v>
      </c>
      <c r="H23" s="10">
        <v>900</v>
      </c>
      <c r="I23" s="10">
        <v>1</v>
      </c>
      <c r="U23" s="10">
        <v>9</v>
      </c>
      <c r="V23" s="10">
        <v>89</v>
      </c>
      <c r="W23" s="10">
        <v>1</v>
      </c>
      <c r="X23" s="10">
        <f t="shared" si="12"/>
        <v>0.10999999999999999</v>
      </c>
      <c r="Y23" s="10">
        <f t="shared" si="13"/>
        <v>9.7899999999999991</v>
      </c>
    </row>
    <row r="24" spans="1:45" x14ac:dyDescent="0.2">
      <c r="A24" s="10">
        <v>10</v>
      </c>
      <c r="B24" s="10">
        <v>1000</v>
      </c>
      <c r="C24" s="10">
        <f>SUM($C$3:C12)</f>
        <v>1</v>
      </c>
      <c r="D24" s="10">
        <f t="shared" si="14"/>
        <v>0</v>
      </c>
      <c r="U24" s="10">
        <v>10</v>
      </c>
      <c r="V24" s="10">
        <v>99</v>
      </c>
      <c r="W24" s="10">
        <v>1</v>
      </c>
      <c r="X24" s="10">
        <f>W24-W23</f>
        <v>0</v>
      </c>
      <c r="Y24" s="10">
        <f t="shared" si="13"/>
        <v>0</v>
      </c>
      <c r="AE24" t="s">
        <v>107</v>
      </c>
      <c r="AG24" s="9" t="s">
        <v>108</v>
      </c>
      <c r="AH24" s="10" t="s">
        <v>109</v>
      </c>
      <c r="AI24" s="9" t="s">
        <v>88</v>
      </c>
      <c r="AJ24" s="11">
        <v>9.9999999999999995E-7</v>
      </c>
    </row>
    <row r="25" spans="1:45" x14ac:dyDescent="0.2">
      <c r="H25" t="s">
        <v>34</v>
      </c>
      <c r="AE25" s="9" t="s">
        <v>74</v>
      </c>
      <c r="AF25" s="9" t="s">
        <v>94</v>
      </c>
      <c r="AG25" s="9" t="s">
        <v>110</v>
      </c>
      <c r="AH25" s="9" t="s">
        <v>83</v>
      </c>
      <c r="AI25" s="9" t="s">
        <v>111</v>
      </c>
      <c r="AJ25" s="9" t="s">
        <v>113</v>
      </c>
      <c r="AK25" s="9" t="s">
        <v>52</v>
      </c>
      <c r="AL25" s="9" t="s">
        <v>53</v>
      </c>
      <c r="AM25" s="9" t="s">
        <v>103</v>
      </c>
    </row>
    <row r="26" spans="1:45" x14ac:dyDescent="0.2">
      <c r="A26" t="s">
        <v>39</v>
      </c>
      <c r="H26" s="9" t="s">
        <v>56</v>
      </c>
      <c r="I26" s="10">
        <f>SUM(K4:K12) / SUM(J4:J12)</f>
        <v>574</v>
      </c>
      <c r="J26" t="s">
        <v>57</v>
      </c>
      <c r="AE26" s="10">
        <v>1E-4</v>
      </c>
      <c r="AF26" s="10">
        <v>0.9</v>
      </c>
      <c r="AG26" s="10">
        <f xml:space="preserve"> PI()* (AE26/2)^2 *$AJ$24</f>
        <v>7.853981633974482E-15</v>
      </c>
      <c r="AH26" s="10">
        <f>AF26/AG26</f>
        <v>114591559026164.66</v>
      </c>
      <c r="AI26" s="10">
        <f>AH26/SUM($AH$26:$AH$28)</f>
        <v>8.1892629663330302E-3</v>
      </c>
      <c r="AJ26" s="10">
        <f>((PI()*AF31^3) / 6)*AH26</f>
        <v>0.89998694653902589</v>
      </c>
      <c r="AK26" s="10">
        <f>AI26*AF31</f>
        <v>2.0196361564857636E-7</v>
      </c>
      <c r="AL26" s="10">
        <f>AI26*AF31^3</f>
        <v>1.2283716285791981E-16</v>
      </c>
      <c r="AM26" s="10">
        <f>AI26*AF31^4</f>
        <v>3.0294102959923939E-21</v>
      </c>
    </row>
    <row r="27" spans="1:45" x14ac:dyDescent="0.2">
      <c r="A27" s="9" t="s">
        <v>21</v>
      </c>
      <c r="B27" s="9" t="s">
        <v>22</v>
      </c>
      <c r="C27" s="9" t="s">
        <v>40</v>
      </c>
      <c r="D27" s="9" t="s">
        <v>41</v>
      </c>
      <c r="AE27" s="10">
        <v>1.0000000000000001E-5</v>
      </c>
      <c r="AF27" s="10">
        <v>0.09</v>
      </c>
      <c r="AG27" s="10">
        <f t="shared" ref="AG27:AG28" si="15" xml:space="preserve"> PI()* (AE27/2)^2 *$AJ$24</f>
        <v>7.8539816339744834E-17</v>
      </c>
      <c r="AH27" s="10">
        <f t="shared" ref="AH27:AH28" si="16">AF27/AG27</f>
        <v>1145915590261646.2</v>
      </c>
      <c r="AI27" s="10">
        <f t="shared" ref="AI27:AI28" si="17">AH27/SUM($AH$26:$AH$28)</f>
        <v>8.1892629663330274E-2</v>
      </c>
      <c r="AJ27" s="10">
        <f t="shared" ref="AJ27:AJ28" si="18">((PI()*AF32^3) / 6)*AH27</f>
        <v>9.073370539216509E-2</v>
      </c>
      <c r="AK27" s="10">
        <f t="shared" ref="AK27:AK28" si="19">AI27*AF32</f>
        <v>4.3629873040075771E-7</v>
      </c>
      <c r="AL27" s="10">
        <f t="shared" ref="AL27:AL28" si="20">AI27*AF32^3</f>
        <v>1.2384036222770484E-17</v>
      </c>
      <c r="AM27" s="10">
        <f t="shared" ref="AM27:AM28" si="21">AI27*AF32^4</f>
        <v>6.5978334111930027E-23</v>
      </c>
    </row>
    <row r="28" spans="1:45" x14ac:dyDescent="0.2">
      <c r="A28" s="10" t="s">
        <v>24</v>
      </c>
      <c r="B28" s="10">
        <v>0</v>
      </c>
      <c r="C28" s="10">
        <f>B28 *PI() * F3^3 / 6</f>
        <v>0</v>
      </c>
      <c r="D28" s="10">
        <f>C28 / SUM($C$28:$C$36)</f>
        <v>0</v>
      </c>
      <c r="H28" t="s">
        <v>39</v>
      </c>
      <c r="AE28" s="10">
        <v>9.9999999999999995E-7</v>
      </c>
      <c r="AF28" s="10">
        <v>0.01</v>
      </c>
      <c r="AG28" s="10">
        <f t="shared" si="15"/>
        <v>7.8539816339744819E-19</v>
      </c>
      <c r="AH28" s="10">
        <f t="shared" si="16"/>
        <v>1.273239544735163E+16</v>
      </c>
      <c r="AI28" s="10">
        <f t="shared" si="17"/>
        <v>0.90991810737033674</v>
      </c>
      <c r="AJ28" s="10">
        <f t="shared" si="18"/>
        <v>1.0559119988908678E-2</v>
      </c>
      <c r="AK28" s="10">
        <f t="shared" si="19"/>
        <v>1.0606578297694603E-6</v>
      </c>
      <c r="AL28" s="10">
        <f t="shared" si="20"/>
        <v>1.4411901713706107E-18</v>
      </c>
      <c r="AM28" s="10">
        <f t="shared" si="21"/>
        <v>1.6799419937566807E-24</v>
      </c>
    </row>
    <row r="29" spans="1:45" x14ac:dyDescent="0.2">
      <c r="A29" s="10" t="s">
        <v>25</v>
      </c>
      <c r="B29" s="10">
        <v>10</v>
      </c>
      <c r="C29" s="10">
        <f t="shared" ref="C29:C36" si="22">B29 *PI() * F4^3 / 6</f>
        <v>41887902.047863908</v>
      </c>
      <c r="D29" s="10">
        <f t="shared" ref="D29:D36" si="23">C29 / SUM($C$28:$C$36)</f>
        <v>3.0769230769230774E-3</v>
      </c>
      <c r="H29" s="9" t="s">
        <v>58</v>
      </c>
      <c r="I29" s="10">
        <f>SUM(M4:M12)  / SUM(L4:L12)</f>
        <v>709.81233243967824</v>
      </c>
      <c r="J29" t="s">
        <v>59</v>
      </c>
    </row>
    <row r="30" spans="1:45" x14ac:dyDescent="0.2">
      <c r="A30" s="10" t="s">
        <v>26</v>
      </c>
      <c r="B30" s="10">
        <v>20</v>
      </c>
      <c r="C30" s="10">
        <f t="shared" si="22"/>
        <v>282743338.82308137</v>
      </c>
      <c r="D30" s="10">
        <f t="shared" si="23"/>
        <v>2.0769230769230769E-2</v>
      </c>
      <c r="AF30" s="9" t="s">
        <v>112</v>
      </c>
    </row>
    <row r="31" spans="1:45" x14ac:dyDescent="0.2">
      <c r="A31" s="10" t="s">
        <v>27</v>
      </c>
      <c r="B31" s="10">
        <v>30</v>
      </c>
      <c r="C31" s="10">
        <f t="shared" si="22"/>
        <v>1005309649.1487337</v>
      </c>
      <c r="D31" s="10">
        <f t="shared" si="23"/>
        <v>7.3846153846153853E-2</v>
      </c>
      <c r="AE31" s="9">
        <v>1E-4</v>
      </c>
      <c r="AF31" s="10">
        <v>2.4662001510865047E-5</v>
      </c>
      <c r="AI31" s="9" t="s">
        <v>102</v>
      </c>
      <c r="AJ31" s="10">
        <f>SUM(AK26:AK28)</f>
        <v>1.6989201758187943E-6</v>
      </c>
    </row>
    <row r="32" spans="1:45" x14ac:dyDescent="0.2">
      <c r="A32" s="10" t="s">
        <v>28</v>
      </c>
      <c r="B32" s="10">
        <v>40</v>
      </c>
      <c r="C32" s="10">
        <f t="shared" si="22"/>
        <v>2617993877.9914942</v>
      </c>
      <c r="D32" s="10">
        <f t="shared" si="23"/>
        <v>0.19230769230769232</v>
      </c>
      <c r="AE32" s="9">
        <v>1.0000000000000001E-5</v>
      </c>
      <c r="AF32" s="10">
        <v>5.3276922745603652E-6</v>
      </c>
      <c r="AI32" s="9" t="s">
        <v>104</v>
      </c>
      <c r="AJ32" s="10">
        <f>SUM(AM26:AM28) / SUM(AL26:AL28)</f>
        <v>2.2662186641460144E-5</v>
      </c>
    </row>
    <row r="33" spans="1:32" x14ac:dyDescent="0.2">
      <c r="A33" s="10" t="s">
        <v>29</v>
      </c>
      <c r="B33" s="10">
        <v>30</v>
      </c>
      <c r="C33" s="10">
        <f t="shared" si="22"/>
        <v>3392920065.876976</v>
      </c>
      <c r="D33" s="10">
        <f t="shared" si="23"/>
        <v>0.2492307692307692</v>
      </c>
      <c r="AE33" s="9">
        <v>9.9999999999999995E-7</v>
      </c>
      <c r="AF33" s="10">
        <v>1.1656629549166368E-6</v>
      </c>
    </row>
    <row r="34" spans="1:32" x14ac:dyDescent="0.2">
      <c r="A34" s="10" t="s">
        <v>30</v>
      </c>
      <c r="B34" s="10">
        <v>20</v>
      </c>
      <c r="C34" s="10">
        <f t="shared" si="22"/>
        <v>3591887600.6043301</v>
      </c>
      <c r="D34" s="10">
        <f t="shared" si="23"/>
        <v>0.26384615384615384</v>
      </c>
    </row>
    <row r="35" spans="1:32" x14ac:dyDescent="0.2">
      <c r="A35" s="10" t="s">
        <v>31</v>
      </c>
      <c r="B35" s="10">
        <v>10</v>
      </c>
      <c r="C35" s="10">
        <f t="shared" si="22"/>
        <v>2680825731.0632901</v>
      </c>
      <c r="D35" s="10">
        <f t="shared" si="23"/>
        <v>0.19692307692307695</v>
      </c>
    </row>
    <row r="36" spans="1:32" x14ac:dyDescent="0.2">
      <c r="A36" s="10" t="s">
        <v>32</v>
      </c>
      <c r="B36" s="10">
        <v>0</v>
      </c>
      <c r="C36" s="10">
        <f t="shared" si="22"/>
        <v>0</v>
      </c>
      <c r="D36" s="10">
        <f t="shared" si="23"/>
        <v>0</v>
      </c>
    </row>
    <row r="38" spans="1:32" x14ac:dyDescent="0.2">
      <c r="A38" t="s">
        <v>43</v>
      </c>
    </row>
    <row r="39" spans="1:32" x14ac:dyDescent="0.2">
      <c r="A39" s="9" t="s">
        <v>35</v>
      </c>
      <c r="B39" s="9" t="s">
        <v>36</v>
      </c>
      <c r="C39" s="9" t="s">
        <v>45</v>
      </c>
      <c r="D39" s="9" t="s">
        <v>46</v>
      </c>
      <c r="F39" s="9" t="s">
        <v>47</v>
      </c>
    </row>
    <row r="40" spans="1:32" x14ac:dyDescent="0.2">
      <c r="A40" s="10">
        <v>1</v>
      </c>
      <c r="B40" s="10">
        <v>100</v>
      </c>
      <c r="C40" s="10">
        <f>D28</f>
        <v>0</v>
      </c>
      <c r="D40" s="10">
        <f>C40 / ($B$41-$B$40)</f>
        <v>0</v>
      </c>
      <c r="F40" s="9" t="s">
        <v>48</v>
      </c>
    </row>
    <row r="41" spans="1:32" x14ac:dyDescent="0.2">
      <c r="A41" s="10">
        <v>2</v>
      </c>
      <c r="B41" s="10">
        <v>200</v>
      </c>
      <c r="C41" s="10">
        <f>SUM($D$28:D29)</f>
        <v>3.0769230769230774E-3</v>
      </c>
      <c r="D41" s="10">
        <f>(C41 - C40) / ($B$41-$B$40)</f>
        <v>3.0769230769230774E-5</v>
      </c>
    </row>
    <row r="42" spans="1:32" x14ac:dyDescent="0.2">
      <c r="A42" s="10">
        <v>3</v>
      </c>
      <c r="B42" s="10">
        <v>300</v>
      </c>
      <c r="C42" s="10">
        <f>SUM($D$28:D30)</f>
        <v>2.3846153846153847E-2</v>
      </c>
      <c r="D42" s="10">
        <f t="shared" ref="D42:D49" si="24">(C42 - C41) / ($B$41-$B$40)</f>
        <v>2.0769230769230768E-4</v>
      </c>
    </row>
    <row r="43" spans="1:32" x14ac:dyDescent="0.2">
      <c r="A43" s="10">
        <v>4</v>
      </c>
      <c r="B43" s="10">
        <v>400</v>
      </c>
      <c r="C43" s="10">
        <f>SUM($D$28:D31)</f>
        <v>9.7692307692307703E-2</v>
      </c>
      <c r="D43" s="10">
        <f t="shared" si="24"/>
        <v>7.3846153846153853E-4</v>
      </c>
    </row>
    <row r="44" spans="1:32" x14ac:dyDescent="0.2">
      <c r="A44" s="10">
        <v>5</v>
      </c>
      <c r="B44" s="10">
        <v>500</v>
      </c>
      <c r="C44" s="10">
        <f>SUM($D$28:D32)</f>
        <v>0.29000000000000004</v>
      </c>
      <c r="D44" s="10">
        <f t="shared" si="24"/>
        <v>1.9230769230769234E-3</v>
      </c>
    </row>
    <row r="45" spans="1:32" x14ac:dyDescent="0.2">
      <c r="A45" s="10">
        <v>6</v>
      </c>
      <c r="B45" s="10">
        <v>600</v>
      </c>
      <c r="C45" s="10">
        <f>SUM($D$28:D33)</f>
        <v>0.53923076923076918</v>
      </c>
      <c r="D45" s="10">
        <f t="shared" si="24"/>
        <v>2.4923076923076912E-3</v>
      </c>
    </row>
    <row r="46" spans="1:32" x14ac:dyDescent="0.2">
      <c r="A46" s="10">
        <v>7</v>
      </c>
      <c r="B46" s="10">
        <v>700</v>
      </c>
      <c r="C46" s="10">
        <f>SUM($D$28:D34)</f>
        <v>0.80307692307692302</v>
      </c>
      <c r="D46" s="10">
        <f t="shared" si="24"/>
        <v>2.6384615384615383E-3</v>
      </c>
    </row>
    <row r="47" spans="1:32" x14ac:dyDescent="0.2">
      <c r="A47" s="10">
        <v>8</v>
      </c>
      <c r="B47" s="10">
        <v>800</v>
      </c>
      <c r="C47" s="10">
        <f>SUM($D$28:D35)</f>
        <v>1</v>
      </c>
      <c r="D47" s="10">
        <f t="shared" si="24"/>
        <v>1.96923076923077E-3</v>
      </c>
    </row>
    <row r="48" spans="1:32" x14ac:dyDescent="0.2">
      <c r="A48" s="10">
        <v>9</v>
      </c>
      <c r="B48" s="10">
        <v>900</v>
      </c>
      <c r="C48" s="10">
        <f>SUM($D$28:D36)</f>
        <v>1</v>
      </c>
      <c r="D48" s="10">
        <f t="shared" si="24"/>
        <v>0</v>
      </c>
    </row>
    <row r="49" spans="1:4" x14ac:dyDescent="0.2">
      <c r="A49" s="10">
        <v>10</v>
      </c>
      <c r="B49" s="10">
        <v>1000</v>
      </c>
      <c r="C49" s="10">
        <f>SUM($D$28:D37)</f>
        <v>1</v>
      </c>
      <c r="D49" s="10">
        <f t="shared" si="24"/>
        <v>0</v>
      </c>
    </row>
    <row r="1048550" spans="16384:16384" x14ac:dyDescent="0.2">
      <c r="XFD1048550" t="e" cm="1">
        <f t="array" ref="XFD1048550">solver_pre</f>
        <v>#NAME?</v>
      </c>
    </row>
    <row r="1048551" spans="16384:16384" x14ac:dyDescent="0.2">
      <c r="XFD1048551" t="e" cm="1">
        <f t="array" ref="XFD1048551">solver_scl</f>
        <v>#NAME?</v>
      </c>
    </row>
    <row r="1048552" spans="16384:16384" x14ac:dyDescent="0.2">
      <c r="XFD1048552" t="e" cm="1">
        <f t="array" ref="XFD1048552">solver_rlx</f>
        <v>#NAME?</v>
      </c>
    </row>
    <row r="1048553" spans="16384:16384" x14ac:dyDescent="0.2">
      <c r="XFD1048553" t="e" cm="1">
        <f t="array" ref="XFD1048553">solver_tol</f>
        <v>#NAME?</v>
      </c>
    </row>
    <row r="1048554" spans="16384:16384" x14ac:dyDescent="0.2">
      <c r="XFD1048554" t="e" cm="1">
        <f t="array" ref="XFD1048554">solver_cvg</f>
        <v>#NAME?</v>
      </c>
    </row>
    <row r="1048555" spans="16384:16384" x14ac:dyDescent="0.2">
      <c r="XFD1048555" t="e" cm="1">
        <f t="array" ref="XFD1048555">AREAS(solver_adj1)</f>
        <v>#NAME?</v>
      </c>
    </row>
    <row r="1048556" spans="16384:16384" x14ac:dyDescent="0.2">
      <c r="XFD1048556" t="e" cm="1">
        <f t="array" ref="XFD1048556">solver_ssz</f>
        <v>#NAME?</v>
      </c>
    </row>
    <row r="1048557" spans="16384:16384" x14ac:dyDescent="0.2">
      <c r="XFD1048557" t="e" cm="1">
        <f t="array" ref="XFD1048557">solver_rsd</f>
        <v>#NAME?</v>
      </c>
    </row>
    <row r="1048558" spans="16384:16384" x14ac:dyDescent="0.2">
      <c r="XFD1048558" t="e" cm="1">
        <f t="array" ref="XFD1048558">solver_mrt</f>
        <v>#NAME?</v>
      </c>
    </row>
    <row r="1048559" spans="16384:16384" x14ac:dyDescent="0.2">
      <c r="XFD1048559" t="e" cm="1">
        <f t="array" ref="XFD1048559">solver_mni</f>
        <v>#NAME?</v>
      </c>
    </row>
    <row r="1048560" spans="16384:16384" x14ac:dyDescent="0.2">
      <c r="XFD1048560" t="e" cm="1">
        <f t="array" ref="XFD1048560">solver_rbv</f>
        <v>#NAME?</v>
      </c>
    </row>
    <row r="1048561" spans="16384:16384" x14ac:dyDescent="0.2">
      <c r="XFD1048561" t="e" cm="1">
        <f t="array" ref="XFD1048561">solver_neg</f>
        <v>#NAME?</v>
      </c>
    </row>
    <row r="1048562" spans="16384:16384" x14ac:dyDescent="0.2">
      <c r="XFD1048562" t="e" cm="1">
        <f t="array" ref="XFD1048562">solver_ntr</f>
        <v>#NAME?</v>
      </c>
    </row>
    <row r="1048563" spans="16384:16384" x14ac:dyDescent="0.2">
      <c r="XFD1048563" t="e" cm="1">
        <f t="array" ref="XFD1048563">solver_acc</f>
        <v>#NAME?</v>
      </c>
    </row>
    <row r="1048564" spans="16384:16384" x14ac:dyDescent="0.2">
      <c r="XFD1048564" t="e" cm="1">
        <f t="array" ref="XFD1048564">solver_res</f>
        <v>#NAME?</v>
      </c>
    </row>
    <row r="1048565" spans="16384:16384" x14ac:dyDescent="0.2">
      <c r="XFD1048565" t="e" cm="1">
        <f t="array" ref="XFD1048565">solver_ars</f>
        <v>#NAME?</v>
      </c>
    </row>
    <row r="1048566" spans="16384:16384" x14ac:dyDescent="0.2">
      <c r="XFD1048566" t="e" cm="1">
        <f t="array" ref="XFD1048566">solver_sta</f>
        <v>#NAME?</v>
      </c>
    </row>
    <row r="1048567" spans="16384:16384" x14ac:dyDescent="0.2">
      <c r="XFD1048567" t="e" cm="1">
        <f t="array" ref="XFD1048567">solver_met</f>
        <v>#NAME?</v>
      </c>
    </row>
    <row r="1048568" spans="16384:16384" x14ac:dyDescent="0.2">
      <c r="XFD1048568" t="e" cm="1">
        <f t="array" ref="XFD1048568">solver_soc</f>
        <v>#NAME?</v>
      </c>
    </row>
    <row r="1048569" spans="16384:16384" x14ac:dyDescent="0.2">
      <c r="XFD1048569" t="e" cm="1">
        <f t="array" ref="XFD1048569">solver_lpt</f>
        <v>#NAME?</v>
      </c>
    </row>
    <row r="1048570" spans="16384:16384" x14ac:dyDescent="0.2">
      <c r="XFD1048570" t="e" cm="1">
        <f t="array" ref="XFD1048570">solver_lpp</f>
        <v>#NAME?</v>
      </c>
    </row>
    <row r="1048571" spans="16384:16384" x14ac:dyDescent="0.2">
      <c r="XFD1048571" t="e" cm="1">
        <f t="array" ref="XFD1048571">solver_gap</f>
        <v>#NAME?</v>
      </c>
    </row>
    <row r="1048572" spans="16384:16384" x14ac:dyDescent="0.2">
      <c r="XFD1048572" t="e" cm="1">
        <f t="array" ref="XFD1048572">solver_ips</f>
        <v>#NAME?</v>
      </c>
    </row>
    <row r="1048573" spans="16384:16384" x14ac:dyDescent="0.2">
      <c r="XFD1048573" t="e" cm="1">
        <f t="array" ref="XFD1048573">solver_fea</f>
        <v>#NAME?</v>
      </c>
    </row>
    <row r="1048574" spans="16384:16384" x14ac:dyDescent="0.2">
      <c r="XFD1048574" t="e" cm="1">
        <f t="array" ref="XFD1048574">solver_ipi</f>
        <v>#NAME?</v>
      </c>
    </row>
    <row r="1048575" spans="16384:16384" x14ac:dyDescent="0.2">
      <c r="XFD1048575" t="e" cm="1">
        <f t="array" ref="XFD1048575">solver_ipd</f>
        <v>#NAME?</v>
      </c>
    </row>
  </sheetData>
  <phoneticPr fontId="3" type="noConversion"/>
  <pageMargins left="0.7" right="0.7" top="0.75" bottom="0.75" header="0.3" footer="0.3"/>
  <extLst>
    <ext xmlns:x15="http://schemas.microsoft.com/office/spreadsheetml/2010/11/main" uri="{F7C9EE02-42E1-4005-9D12-6889AFFD525C}">
      <x15:webExtensions xmlns:xm="http://schemas.microsoft.com/office/excel/2006/main">
        <x15:webExtension appRef="{17F29F74-5542-4016-B1A3-0AC93FCA91CB}">
          <xm:f>'Particle Technology Tutorial 2'!$AF$31</xm:f>
        </x15:webExtension>
        <x15:webExtension appRef="{15D36297-5F66-46BB-957A-4DFCD95B1ED4}">
          <xm:f>'Particle Technology Tutorial 2'!$AH$38:$AH$40</xm:f>
        </x15:webExtension>
        <x15:webExtension appRef="{FBAA8D7F-0D25-4903-B9CF-3437DB52AB9F}">
          <xm:f>'Particle Technology Tutorial 2'!$AF$52:$AF$54</xm:f>
        </x15:webExtension>
        <x15:webExtension appRef="{A2B73B32-5512-4A10-8DA9-C835C071B770}">
          <xm:f>'Particle Technology Tutorial 2'!1:1048576</xm:f>
        </x15:webExtension>
        <x15:webExtension appRef="{ADA3E270-F5EA-4ABA-AB80-D2CB7373F9FE}">
          <xm:f>'Particle Technology Tutorial 2'!XFD1048550:XFD1048575</xm:f>
        </x15:webExtension>
        <x15:webExtension appRef="{5271714A-14D1-4059-920B-72581C4B17D9}">
          <xm:f>'Particle Technology Tutorial 2'!$AF$52:$AF$54</xm:f>
        </x15:webExtension>
        <x15:webExtension appRef="{FC4BC955-C7F4-425A-BAA8-056A1FD16972}">
          <xm:f>'Particle Technology Tutorial 2'!$AF$26:$AF$28</xm:f>
        </x15:webExtension>
      </x15:webExtens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Splash Page</vt:lpstr>
      <vt:lpstr>Particle Technology Tutorial 1</vt:lpstr>
      <vt:lpstr>Advanced Reactors Tutorial 2</vt:lpstr>
      <vt:lpstr>Advanced Reactors Tutorial 3</vt:lpstr>
      <vt:lpstr>Advanced Separations Tutorial 2</vt:lpstr>
      <vt:lpstr>Particle Technology Tutorial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Vint (Student)</dc:creator>
  <cp:lastModifiedBy>James Vint (Student)</cp:lastModifiedBy>
  <dcterms:created xsi:type="dcterms:W3CDTF">2024-10-01T15:53:31Z</dcterms:created>
  <dcterms:modified xsi:type="dcterms:W3CDTF">2024-10-09T00:47:26Z</dcterms:modified>
</cp:coreProperties>
</file>